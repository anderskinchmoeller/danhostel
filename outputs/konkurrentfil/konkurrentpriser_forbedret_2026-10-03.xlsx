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c33f6596874d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blik" sheetId="1" r:id="R236c4d0f0b754e04"/>
    <x:sheet xmlns:r="http://schemas.openxmlformats.org/officeDocument/2006/relationships" name="Import CSV" sheetId="2" r:id="Rc8ba3d2f5de742d8"/>
    <x:sheet xmlns:r="http://schemas.openxmlformats.org/officeDocument/2006/relationships" name="Kilder" sheetId="3" r:id="Rcdc91c59c7d24e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6">
    <x:font>
      <x:sz val="11"/>
      <x:name val="Carlito"/>
    </x:font>
    <x:font>
      <x:sz val="10"/>
      <x:color rgb="FF1F2933"/>
      <x:name val="Arial"/>
    </x:font>
    <x:font>
      <x:b/>
      <x:sz val="10"/>
      <x:color rgb="FFFFFFFF"/>
      <x:name val="Arial"/>
    </x:font>
    <x:font>
      <x:b/>
      <x:sz val="16"/>
      <x:color rgb="FF1F2933"/>
      <x:name val="Arial"/>
    </x:font>
    <x:font>
      <x:i/>
      <x:sz val="10"/>
      <x:color rgb="FF667085"/>
      <x:name val="Arial"/>
    </x:font>
    <x:font>
      <x:b/>
      <x:sz val="12"/>
      <x:color rgb="FF1F293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405C"/>
      </x:patternFill>
    </x:fill>
    <x:fill>
      <x:patternFill patternType="solid">
        <x:fgColor rgb="FF2F6F97"/>
      </x:patternFill>
    </x:fill>
    <x:fill>
      <x:patternFill patternType="solid">
        <x:fgColor rgb="FFE7F0F6"/>
      </x:patternFill>
    </x:fill>
  </x:fills>
  <x:borders count="16">
    <x:border/>
    <x:border>
      <x:bottom style="thin">
        <x:color rgb="FFE7EAEE"/>
      </x:bottom>
    </x:border>
    <x:border>
      <x:left style="thin">
        <x:color rgb="FFAAB7C4"/>
      </x:left>
      <x:top style="thin">
        <x:color rgb="FFAAB7C4"/>
      </x:top>
    </x:border>
    <x:border>
      <x:top style="thin">
        <x:color rgb="FFAAB7C4"/>
      </x:top>
    </x:border>
    <x:border>
      <x:right style="thin">
        <x:color rgb="FFAAB7C4"/>
      </x:right>
      <x:top style="thin">
        <x:color rgb="FFAAB7C4"/>
      </x:top>
    </x:border>
    <x:border>
      <x:left style="thin">
        <x:color rgb="FFAAB7C4"/>
      </x:left>
      <x:bottom style="thin">
        <x:color rgb="FFAAB7C4"/>
      </x:bottom>
    </x:border>
    <x:border>
      <x:bottom style="thin">
        <x:color rgb="FFAAB7C4"/>
      </x:bottom>
    </x:border>
    <x:border>
      <x:right style="thin">
        <x:color rgb="FFAAB7C4"/>
      </x:right>
      <x:bottom style="thin">
        <x:color rgb="FFAAB7C4"/>
      </x:bottom>
    </x:border>
    <x:border>
      <x:left style="thin">
        <x:color rgb="FFD0D5DD"/>
      </x:left>
      <x:top style="thin">
        <x:color rgb="FFD0D5DD"/>
      </x:top>
    </x:border>
    <x:border>
      <x:top style="thin">
        <x:color rgb="FFD0D5DD"/>
      </x:top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</x:border>
    <x:border>
      <x:right style="thin">
        <x:color rgb="FFD0D5DD"/>
      </x:right>
    </x:border>
    <x:border>
      <x:left style="thin">
        <x:color rgb="FFD0D5DD"/>
      </x:left>
      <x:bottom style="thin">
        <x:color rgb="FFD0D5DD"/>
      </x:bottom>
    </x:border>
    <x:border>
      <x:bottom style="thin">
        <x:color rgb="FFD0D5DD"/>
      </x:bottom>
    </x:border>
    <x:border>
      <x:right style="thin">
        <x:color rgb="FFD0D5DD"/>
      </x:right>
      <x:bottom style="thin">
        <x:color rgb="FFD0D5DD"/>
      </x:bottom>
    </x:border>
  </x:borders>
  <x:cellStyleXfs count="1">
    <x:xf numFmtId="0" fontId="0" fillId="0" borderId="0"/>
  </x:cellStyleXfs>
  <x:cellXfs count="4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4" xfId="0" applyNumberFormat="1" applyFont="1" applyFill="1" applyBorder="1" applyAlignment="1">
      <x:alignment vertical="center"/>
    </x:xf>
    <x:xf numFmtId="0" fontId="5" fillId="4" borderId="5" xfId="0" applyNumberFormat="1" applyFont="1" applyFill="1" applyBorder="1" applyAlignment="1">
      <x:alignment vertical="center"/>
    </x:xf>
    <x:xf numFmtId="0" fontId="5" fillId="4" borderId="6" xfId="0" applyNumberFormat="1" applyFont="1" applyFill="1" applyBorder="1" applyAlignment="1">
      <x:alignment vertical="center"/>
    </x:xf>
    <x:xf numFmtId="0" fontId="5" fillId="4" borderId="7" xfId="0" applyNumberFormat="1" applyFont="1" applyFill="1" applyBorder="1" applyAlignment="1">
      <x:alignment vertical="center"/>
    </x:xf>
    <x:xf numFmtId="0" fontId="2" fillId="3" borderId="8" xfId="0" applyNumberFormat="1" applyFont="1" applyFill="1" applyBorder="1" applyAlignment="1">
      <x:alignment vertical="center"/>
    </x:xf>
    <x:xf numFmtId="0" fontId="2" fillId="3" borderId="9" xfId="0" applyNumberFormat="1" applyFont="1" applyFill="1" applyBorder="1" applyAlignment="1">
      <x:alignment vertical="center"/>
    </x:xf>
    <x:xf numFmtId="0" fontId="2" fillId="3" borderId="10" xfId="0" applyNumberFormat="1" applyFont="1" applyFill="1" applyBorder="1" applyAlignment="1">
      <x:alignment vertical="center"/>
    </x:xf>
    <x:xf numFmtId="0" fontId="1" fillId="0" borderId="11" xfId="0" applyNumberFormat="1" applyFont="1" applyFill="1" applyBorder="1" applyAlignment="1">
      <x:alignment vertical="center"/>
    </x:xf>
    <x:xf numFmtId="0" fontId="1" fillId="0" borderId="12" xfId="0" applyNumberFormat="1" applyFont="1" applyFill="1" applyBorder="1" applyAlignment="1">
      <x:alignment vertical="center"/>
    </x:xf>
    <x:xf numFmtId="0" fontId="1" fillId="0" borderId="13" xfId="0" applyNumberFormat="1" applyFont="1" applyFill="1" applyBorder="1" applyAlignment="1">
      <x:alignment vertical="center"/>
    </x:xf>
    <x:xf numFmtId="0" fontId="1" fillId="0" borderId="14" xfId="0" applyNumberFormat="1" applyFont="1" applyFill="1" applyBorder="1" applyAlignment="1">
      <x:alignment vertical="center"/>
    </x:xf>
    <x:xf numFmtId="0" fontId="1" fillId="0" borderId="15" xfId="0" applyNumberFormat="1" applyFont="1" applyFill="1" applyBorder="1" applyAlignment="1">
      <x:alignment vertical="center"/>
    </x:xf>
    <x:xf numFmtId="0" fontId="2" fillId="2" borderId="8" xfId="0" applyNumberFormat="1" applyFont="1" applyFill="1" applyBorder="1" applyAlignment="1">
      <x:alignment vertical="center"/>
    </x:xf>
    <x:xf numFmtId="0" fontId="2" fillId="2" borderId="9" xfId="0" applyNumberFormat="1" applyFont="1" applyFill="1" applyBorder="1" applyAlignment="1">
      <x:alignment vertical="center"/>
    </x:xf>
    <x:xf numFmtId="0" fontId="2" fillId="2" borderId="10" xfId="0" applyNumberFormat="1" applyFont="1" applyFill="1" applyBorder="1" applyAlignment="1">
      <x:alignment vertical="center"/>
    </x:xf>
    <x:xf numFmtId="200" fontId="2" fillId="2" borderId="8" xfId="0" applyNumberFormat="1" applyFont="1" applyFill="1" applyBorder="1" applyAlignment="1">
      <x:alignment vertical="center"/>
    </x:xf>
    <x:xf numFmtId="200" fontId="2" fillId="3" borderId="8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11" xfId="0" applyNumberFormat="1" applyFont="1" applyFill="1" applyBorder="1" applyAlignment="1">
      <x:alignment vertical="center"/>
    </x:xf>
    <x:xf numFmtId="200" fontId="1" fillId="0" borderId="13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2" fillId="2" borderId="9" xfId="0" applyNumberFormat="1" applyFont="1" applyFill="1" applyBorder="1" applyAlignment="1">
      <x:alignment horizontal="center" vertical="center"/>
    </x:xf>
    <x:xf numFmtId="201" fontId="2" fillId="2" borderId="9" xfId="0" applyNumberFormat="1" applyFont="1" applyFill="1" applyBorder="1" applyAlignment="1">
      <x:alignment vertical="center"/>
    </x:xf>
    <x:xf numFmtId="201" fontId="2" fillId="3" borderId="9" xfId="0" applyNumberFormat="1" applyFont="1" applyFill="1" applyBorder="1" applyAlignment="1">
      <x:alignment vertical="center"/>
    </x:xf>
    <x:xf numFmtId="201" fontId="5" fillId="4" borderId="5" xfId="0" applyNumberFormat="1" applyFont="1" applyFill="1" applyBorder="1" applyAlignment="1">
      <x:alignment vertical="center"/>
    </x:xf>
    <x:xf numFmtId="201" fontId="5" fillId="4" borderId="6" xfId="0" applyNumberFormat="1" applyFont="1" applyFill="1" applyBorder="1" applyAlignment="1">
      <x:alignment vertical="center"/>
    </x:xf>
    <x:xf numFmtId="201" fontId="5" fillId="4" borderId="7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14" xfId="0" applyNumberFormat="1" applyFont="1" applyFill="1" applyBorder="1" applyAlignment="1">
      <x:alignment vertical="center"/>
    </x:xf>
    <x:xf numFmtId="201" fontId="1" fillId="0" borderId="12" xfId="0" applyNumberFormat="1" applyFont="1" applyFill="1" applyBorder="1" applyAlignment="1">
      <x:alignment vertical="center"/>
    </x:xf>
    <x:xf numFmtId="201" fontId="1" fillId="0" borderId="15" xfId="0" applyNumberFormat="1" applyFont="1" applyFill="1" applyBorder="1" applyAlignment="1">
      <x:alignment vertical="center"/>
    </x:xf>
  </x:cellXfs>
  <x:cellStyles count="1">
    <x:cellStyle name="Normal" xfId="0"/>
  </x:cellStyles>
  <x:dxfs count="6">
    <x:dxf>
      <x:font>
        <x:b/>
        <x:color rgb="FFC94C4C"/>
      </x:font>
      <x:fill>
        <x:patternFill patternType="solid">
          <x:bgColor rgb="FFFDECEC"/>
        </x:patternFill>
      </x:fill>
    </x:dxf>
    <x:dxf>
      <x:font>
        <x:b/>
        <x:color rgb="FF805B00"/>
      </x:font>
      <x:fill>
        <x:patternFill patternType="solid">
          <x:bgColor rgb="FFFFF6D8"/>
        </x:patternFill>
      </x:fill>
    </x:dxf>
    <x:dxf>
      <x:font>
        <x:b/>
        <x:color rgb="FF2E7D62"/>
      </x:font>
      <x:fill>
        <x:patternFill patternType="solid">
          <x:bgColor rgb="FFE6F4EE"/>
        </x:patternFill>
      </x:fill>
    </x:dxf>
    <x:dxf>
      <x:font>
        <x:b/>
        <x:color rgb="FFC94C4C"/>
      </x:font>
      <x:fill>
        <x:patternFill patternType="solid">
          <x:bgColor rgb="FFFDECEC"/>
        </x:patternFill>
      </x:fill>
    </x:dxf>
    <x:dxf>
      <x:font>
        <x:b/>
        <x:color rgb="FF805B00"/>
      </x:font>
      <x:fill>
        <x:patternFill patternType="solid">
          <x:bgColor rgb="FFFFF6D8"/>
        </x:patternFill>
      </x:fill>
    </x:dxf>
    <x:dxf>
      <x:font>
        <x:b/>
        <x:color rgb="FF2E7D62"/>
      </x:font>
      <x:fill>
        <x:patternFill patternType="solid">
          <x:bgColor rgb="FFE6F4E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0e2fce05ab4478" /><Relationship Type="http://schemas.openxmlformats.org/officeDocument/2006/relationships/theme" Target="/xl/theme/theme1.xml" Id="Rdcc41dbae7ad4031" /><Relationship Type="http://schemas.openxmlformats.org/officeDocument/2006/relationships/sharedStrings" Target="/xl/sharedStrings.xml" Id="R47fb0e0aea134a70" /><Relationship Type="http://schemas.openxmlformats.org/officeDocument/2006/relationships/worksheet" Target="/xl/worksheets/sheet1.xml" Id="R236c4d0f0b754e04" /><Relationship Type="http://schemas.openxmlformats.org/officeDocument/2006/relationships/worksheet" Target="/xl/worksheets/sheet2.xml" Id="Rc8ba3d2f5de742d8" /><Relationship Type="http://schemas.openxmlformats.org/officeDocument/2006/relationships/worksheet" Target="/xl/worksheets/sheet3.xml" Id="Rcdc91c59c7d24ea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38a3161cc2e4b4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Median budgetpris pr. dato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Median budget</c:v>
          </c:tx>
          <c:spPr>
            <a:ln xmlns:a="http://schemas.openxmlformats.org/drawingml/2006/main" w="19050">
              <a:solidFill>
                <a:srgbClr val="2F6F97"/>
              </a:solidFill>
              <a:prstDash val="solid"/>
            </a:ln>
          </c:spPr>
          <c:marker>
            <c:symbol val="none"/>
          </c:marker>
          <c:cat>
            <c:strRef>
              <c:f>'Overblik'!$A$9:$A$44</c:f>
              <c:strCache>
                <c:ptCount val="0"/>
              </c:strCache>
            </c:strRef>
          </c:cat>
          <c:val>
            <c:numRef>
              <c:f>'Overblik'!$C$9:$C$44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19</xdr:row>
      <xdr:rowOff>0</xdr:rowOff>
    </xdr:from>
    <xdr:to>
      <xdr:col>14</xdr:col>
      <xdr:colOff>0</xdr:colOff>
      <xdr:row>38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38a3161cc2e4b4f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09dcfe9e2c04c6c" /></Relationships>
</file>

<file path=xl/worksheets/sheet1.xml><?xml version="1.0" encoding="utf-8"?>
<x:worksheet xmlns:x="http://schemas.openxmlformats.org/spreadsheetml/2006/main">
  <x:sheetPr>
    <x:tabColor rgb="FF17405C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15" hidden="0" customWidth="1"/>
    <x:col min="2" max="2" width="18" hidden="0" customWidth="1"/>
    <x:col min="3" max="3" width="18" hidden="0" customWidth="1"/>
    <x:col min="4" max="4" width="18" hidden="0" customWidth="1"/>
    <x:col min="5" max="5" width="14" hidden="0" customWidth="1"/>
    <x:col min="7" max="7" width="22" hidden="0" customWidth="1"/>
    <x:col min="8" max="8" width="14" hidden="0" customWidth="1"/>
    <x:col min="9" max="9" width="14" hidden="0" customWidth="1"/>
    <x:col min="10" max="10" width="40" hidden="0" customWidth="1"/>
    <x:col min="11" max="11" width="14" hidden="0" customWidth="1"/>
  </x:cols>
  <x:sheetData>
    <x:row r="1">
      <x:c r="A1" s="32"/>
      <x:c r="B1" s="35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>
      <x:c r="A2" s="11" t="str">
        <x:v>Forbedret konkurrentfil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</x:row>
    <x:row r="3">
      <x:c r="A3" s="8" t="str">
        <x:v>Baseret på kildefilen fra 3. oktober 2026. Importfilen bruger medianen af de mest sammenlignelige budgetpriser og holder øvrige signaler synlige.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>
      <x:c r="A5" s="13" t="str">
        <x:v>Importdage</x:v>
      </x:c>
      <x:c r="B5" s="14" t="str">
        <x:v>Gennemsnitlig median</x:v>
      </x:c>
      <x:c r="C5" s="14" t="str">
        <x:v>Weekend median</x:v>
      </x:c>
      <x:c r="D5" s="15" t="str">
        <x:v>Dage med høj spredning</x:v>
      </x:c>
      <x:c r="E5" s="2"/>
      <x:c r="F5" s="2"/>
      <x:c r="G5" s="19" t="str">
        <x:v>Konkurrent</x:v>
      </x:c>
      <x:c r="H5" s="20" t="str">
        <x:v>Antal priser</x:v>
      </x:c>
      <x:c r="I5" s="20" t="str">
        <x:v>Gennemsnit</x:v>
      </x:c>
      <x:c r="J5" s="20" t="str">
        <x:v>Median</x:v>
      </x:c>
      <x:c r="K5" s="21" t="str">
        <x:v>Laveste</x:v>
      </x:c>
      <x:c r="L5" s="2"/>
      <x:c r="M5" s="2"/>
      <x:c r="N5" s="2"/>
    </x:row>
    <x:row r="6">
      <x:c r="A6" s="39" t="n">
        <x:f>COUNTA('Import CSV'!A2:A36)</x:f>
        <x:v>34</x:v>
      </x:c>
      <x:c r="B6" s="40" t="n">
        <x:f>AVERAGE('Import CSV'!B2:B36)</x:f>
        <x:v>680.7058823529412</x:v>
      </x:c>
      <x:c r="C6" s="40" t="n">
        <x:f>AVERAGE(C10,C16,C17,C23,C24,C30,C31,C37,C38)</x:f>
        <x:v>662.4444444444445</x:v>
      </x:c>
      <x:c r="D6" s="41" t="n">
        <x:f>COUNTIF(Kilder!L2:L37,"&gt;150")</x:f>
        <x:v>17</x:v>
      </x:c>
      <x:c r="E6" s="2"/>
      <x:c r="F6" s="2"/>
      <x:c r="G6" s="22" t="str">
        <x:v>Cabinn Aarhus</x:v>
      </x:c>
      <x:c r="H6" s="42" t="n">
        <x:f>COUNT(Kilder!C2:C37)</x:f>
        <x:v>35</x:v>
      </x:c>
      <x:c r="I6" s="42" t="n">
        <x:f>AVERAGE(Kilder!C2:C37)</x:f>
        <x:v>694.1142857142858</x:v>
      </x:c>
      <x:c r="J6" s="42" t="n">
        <x:f>MEDIAN(Kilder!C2:C37)</x:f>
        <x:v>644</x:v>
      </x:c>
      <x:c r="K6" s="44" t="n">
        <x:f>MIN(Kilder!C2:C37)</x:f>
        <x:v>644</x:v>
      </x:c>
      <x:c r="L6" s="2"/>
      <x:c r="M6" s="2"/>
      <x:c r="N6" s="2"/>
    </x:row>
    <x:row r="7">
      <x:c r="A7" s="2"/>
      <x:c r="B7" s="2"/>
      <x:c r="C7" s="2"/>
      <x:c r="D7" s="2"/>
      <x:c r="E7" s="2"/>
      <x:c r="F7" s="2"/>
      <x:c r="G7" s="22" t="str">
        <x:v>Wakeup Aarhus</x:v>
      </x:c>
      <x:c r="H7" s="42" t="n">
        <x:f>COUNT(Kilder!D2:D37)</x:f>
        <x:v>34</x:v>
      </x:c>
      <x:c r="I7" s="42" t="n">
        <x:f>AVERAGE(Kilder!D2:D37)</x:f>
        <x:v>774.9117647058823</x:v>
      </x:c>
      <x:c r="J7" s="42" t="n">
        <x:f>MEDIAN(Kilder!D2:D37)</x:f>
        <x:v>759</x:v>
      </x:c>
      <x:c r="K7" s="44" t="n">
        <x:f>MIN(Kilder!D2:D37)</x:f>
        <x:v>653</x:v>
      </x:c>
      <x:c r="L7" s="2"/>
      <x:c r="M7" s="2"/>
      <x:c r="N7" s="2"/>
    </x:row>
    <x:row r="8">
      <x:c r="A8" s="19" t="str">
        <x:v>Dato</x:v>
      </x:c>
      <x:c r="B8" s="20" t="str">
        <x:v>Dag</x:v>
      </x:c>
      <x:c r="C8" s="20" t="str">
        <x:v>Median budget</x:v>
      </x:c>
      <x:c r="D8" s="20" t="str">
        <x:v>Spredning</x:v>
      </x:c>
      <x:c r="E8" s="21" t="str">
        <x:v>Datakvalitet</x:v>
      </x:c>
      <x:c r="F8" s="2"/>
      <x:c r="G8" s="22" t="str">
        <x:v>Roberta's Society</x:v>
      </x:c>
      <x:c r="H8" s="42" t="n">
        <x:f>COUNT(Kilder!E2:E37)</x:f>
        <x:v>36</x:v>
      </x:c>
      <x:c r="I8" s="42" t="n">
        <x:f>AVERAGE(Kilder!E2:E37)</x:f>
        <x:v>445</x:v>
      </x:c>
      <x:c r="J8" s="42" t="n">
        <x:f>MEDIAN(Kilder!E2:E37)</x:f>
        <x:v>413.5</x:v>
      </x:c>
      <x:c r="K8" s="44" t="n">
        <x:f>MIN(Kilder!E2:E37)</x:f>
        <x:v>328</x:v>
      </x:c>
      <x:c r="L8" s="2"/>
      <x:c r="M8" s="2"/>
      <x:c r="N8" s="2"/>
    </x:row>
    <x:row r="9">
      <x:c r="A9" s="22" t="str">
        <x:v>2026-10-03</x:v>
      </x:c>
      <x:c r="B9" s="2" t="str">
        <x:v>lør.</x:v>
      </x:c>
      <x:c r="C9" s="42"/>
      <x:c r="D9" s="42"/>
      <x:c r="E9" s="23" t="str">
        <x:v>For lidt data</x:v>
      </x:c>
      <x:c r="F9" s="2"/>
      <x:c r="G9" s="22" t="str">
        <x:v>Aarhus Hostel og Hotel</x:v>
      </x:c>
      <x:c r="H9" s="42" t="n">
        <x:f>COUNT(Kilder!F2:F37)</x:f>
        <x:v>33</x:v>
      </x:c>
      <x:c r="I9" s="42" t="n">
        <x:f>AVERAGE(Kilder!F2:F37)</x:f>
        <x:v>615.4848484848485</x:v>
      </x:c>
      <x:c r="J9" s="42" t="n">
        <x:f>MEDIAN(Kilder!F2:F37)</x:f>
        <x:v>616</x:v>
      </x:c>
      <x:c r="K9" s="44" t="n">
        <x:f>MIN(Kilder!F2:F37)</x:f>
        <x:v>599</x:v>
      </x:c>
      <x:c r="L9" s="2"/>
      <x:c r="M9" s="2"/>
      <x:c r="N9" s="2"/>
    </x:row>
    <x:row r="10">
      <x:c r="A10" s="22" t="str">
        <x:v>2026-10-04</x:v>
      </x:c>
      <x:c r="B10" s="2" t="str">
        <x:v>søn.</x:v>
      </x:c>
      <x:c r="C10" s="42" t="n">
        <x:v>644</x:v>
      </x:c>
      <x:c r="D10" s="42" t="n">
        <x:v>84</x:v>
      </x:c>
      <x:c r="E10" s="23" t="str">
        <x:v>God</x:v>
      </x:c>
      <x:c r="F10" s="2"/>
      <x:c r="G10" s="24" t="str">
        <x:v>Milling Hotel Ritz</x:v>
      </x:c>
      <x:c r="H10" s="43" t="n">
        <x:f>COUNT(Kilder!G2:G37)</x:f>
        <x:v>35</x:v>
      </x:c>
      <x:c r="I10" s="43" t="n">
        <x:f>AVERAGE(Kilder!G2:G37)</x:f>
        <x:v>1286.5714285714287</x:v>
      </x:c>
      <x:c r="J10" s="43" t="n">
        <x:f>MEDIAN(Kilder!G2:G37)</x:f>
        <x:v>1242</x:v>
      </x:c>
      <x:c r="K10" s="45" t="n">
        <x:f>MIN(Kilder!G2:G37)</x:f>
        <x:v>900</x:v>
      </x:c>
      <x:c r="L10" s="2"/>
      <x:c r="M10" s="2"/>
      <x:c r="N10" s="2"/>
    </x:row>
    <x:row r="11">
      <x:c r="A11" s="22" t="str">
        <x:v>2026-10-05</x:v>
      </x:c>
      <x:c r="B11" s="2" t="str">
        <x:v>man.</x:v>
      </x:c>
      <x:c r="C11" s="42" t="n">
        <x:v>777</x:v>
      </x:c>
      <x:c r="D11" s="42" t="n">
        <x:v>167</x:v>
      </x:c>
      <x:c r="E11" s="23" t="str">
        <x:v>God</x:v>
      </x:c>
      <x:c r="F11" s="2"/>
      <x:c r="G11" s="2"/>
      <x:c r="H11" s="2"/>
      <x:c r="I11" s="2"/>
      <x:c r="J11" s="2"/>
      <x:c r="K11" s="2"/>
      <x:c r="L11" s="2"/>
      <x:c r="M11" s="2"/>
      <x:c r="N11" s="2"/>
    </x:row>
    <x:row r="12">
      <x:c r="A12" s="22" t="str">
        <x:v>2026-10-06</x:v>
      </x:c>
      <x:c r="B12" s="2" t="str">
        <x:v>tirs.</x:v>
      </x:c>
      <x:c r="C12" s="42" t="n">
        <x:v>766</x:v>
      </x:c>
      <x:c r="D12" s="42" t="n">
        <x:v>351</x:v>
      </x:c>
      <x:c r="E12" s="23" t="str">
        <x:v>God</x:v>
      </x:c>
      <x:c r="F12" s="2"/>
      <x:c r="G12" s="2"/>
      <x:c r="H12" s="2"/>
      <x:c r="I12" s="2"/>
      <x:c r="J12" s="2"/>
      <x:c r="K12" s="2"/>
      <x:c r="L12" s="2"/>
      <x:c r="M12" s="2"/>
      <x:c r="N12" s="2"/>
    </x:row>
    <x:row r="13">
      <x:c r="A13" s="22" t="str">
        <x:v>2026-10-07</x:v>
      </x:c>
      <x:c r="B13" s="2" t="str">
        <x:v>ons.</x:v>
      </x:c>
      <x:c r="C13" s="42" t="n">
        <x:v>783</x:v>
      </x:c>
      <x:c r="D13" s="42" t="n">
        <x:v>362</x:v>
      </x:c>
      <x:c r="E13" s="23" t="str">
        <x:v>God</x:v>
      </x:c>
      <x:c r="F13" s="2"/>
      <x:c r="G13" s="27" t="str">
        <x:v>Brug</x:v>
      </x:c>
      <x:c r="H13" s="28" t="str">
        <x:v>Definition</x:v>
      </x:c>
      <x:c r="I13" s="28" t="str">
        <x:v>Antal dage</x:v>
      </x:c>
      <x:c r="J13" s="29" t="str">
        <x:v>Kommentar</x:v>
      </x:c>
      <x:c r="K13" s="2"/>
      <x:c r="L13" s="2"/>
      <x:c r="M13" s="2"/>
      <x:c r="N13" s="2"/>
    </x:row>
    <x:row r="14">
      <x:c r="A14" s="22" t="str">
        <x:v>2026-10-08</x:v>
      </x:c>
      <x:c r="B14" s="2" t="str">
        <x:v>tors.</x:v>
      </x:c>
      <x:c r="C14" s="42" t="n">
        <x:v>766</x:v>
      </x:c>
      <x:c r="D14" s="42" t="n">
        <x:v>284</x:v>
      </x:c>
      <x:c r="E14" s="23" t="str">
        <x:v>God</x:v>
      </x:c>
      <x:c r="F14" s="2"/>
      <x:c r="G14" s="22" t="str">
        <x:v>Import</x:v>
      </x:c>
      <x:c r="H14" s="2" t="str">
        <x:v>Mindst to budgetpriser</x:v>
      </x:c>
      <x:c r="I14" s="2" t="n">
        <x:v>34</x:v>
      </x:c>
      <x:c r="J14" s="23" t="str">
        <x:v>Kan uploades direkte i appen</x:v>
      </x:c>
      <x:c r="K14" s="2"/>
      <x:c r="L14" s="2"/>
      <x:c r="M14" s="2"/>
      <x:c r="N14" s="2"/>
    </x:row>
    <x:row r="15">
      <x:c r="A15" s="22" t="str">
        <x:v>2026-10-09</x:v>
      </x:c>
      <x:c r="B15" s="2" t="str">
        <x:v>fre.</x:v>
      </x:c>
      <x:c r="C15" s="42" t="n">
        <x:v>800</x:v>
      </x:c>
      <x:c r="D15" s="42" t="n">
        <x:v>184</x:v>
      </x:c>
      <x:c r="E15" s="23" t="str">
        <x:v>God</x:v>
      </x:c>
      <x:c r="F15" s="2"/>
      <x:c r="G15" s="22" t="str">
        <x:v>Skip</x:v>
      </x:c>
      <x:c r="H15" s="2" t="str">
        <x:v>Færre end to budgetpriser</x:v>
      </x:c>
      <x:c r="I15" s="2" t="n">
        <x:v>2</x:v>
      </x:c>
      <x:c r="J15" s="23" t="str">
        <x:v>Vises i kilder, men udelades fra importfilen</x:v>
      </x:c>
      <x:c r="K15" s="2"/>
      <x:c r="L15" s="2"/>
      <x:c r="M15" s="2"/>
      <x:c r="N15" s="2"/>
    </x:row>
    <x:row r="16">
      <x:c r="A16" s="22" t="str">
        <x:v>2026-10-10</x:v>
      </x:c>
      <x:c r="B16" s="2" t="str">
        <x:v>lør.</x:v>
      </x:c>
      <x:c r="C16" s="42" t="n">
        <x:v>800</x:v>
      </x:c>
      <x:c r="D16" s="42" t="n">
        <x:v>229</x:v>
      </x:c>
      <x:c r="E16" s="23" t="str">
        <x:v>God</x:v>
      </x:c>
      <x:c r="F16" s="2"/>
      <x:c r="G16" s="22" t="str">
        <x:v>Roberta's</x:v>
      </x:c>
      <x:c r="H16" s="2" t="str">
        <x:v>Hybrid-/sengesignal</x:v>
      </x:c>
      <x:c r="I16" s="2" t="n">
        <x:v>36</x:v>
      </x:c>
      <x:c r="J16" s="23" t="str">
        <x:v>Holdes separat fra budgetmedian</x:v>
      </x:c>
      <x:c r="K16" s="2"/>
      <x:c r="L16" s="2"/>
      <x:c r="M16" s="2"/>
      <x:c r="N16" s="2"/>
    </x:row>
    <x:row r="17">
      <x:c r="A17" s="22" t="str">
        <x:v>2026-10-11</x:v>
      </x:c>
      <x:c r="B17" s="2" t="str">
        <x:v>søn.</x:v>
      </x:c>
      <x:c r="C17" s="42" t="n">
        <x:v>644</x:v>
      </x:c>
      <x:c r="D17" s="42" t="n">
        <x:v>64</x:v>
      </x:c>
      <x:c r="E17" s="23" t="str">
        <x:v>God</x:v>
      </x:c>
      <x:c r="F17" s="2"/>
      <x:c r="G17" s="24" t="str">
        <x:v>Milling</x:v>
      </x:c>
      <x:c r="H17" s="25" t="str">
        <x:v>Øvre hotelsignal</x:v>
      </x:c>
      <x:c r="I17" s="25" t="n">
        <x:v>35</x:v>
      </x:c>
      <x:c r="J17" s="26" t="str">
        <x:v>Holdes separat fra budgetmedian</x:v>
      </x:c>
      <x:c r="K17" s="2"/>
      <x:c r="L17" s="2"/>
      <x:c r="M17" s="2"/>
      <x:c r="N17" s="2"/>
    </x:row>
    <x:row r="18">
      <x:c r="A18" s="22" t="str">
        <x:v>2026-10-12</x:v>
      </x:c>
      <x:c r="B18" s="2" t="str">
        <x:v>man.</x:v>
      </x:c>
      <x:c r="C18" s="42" t="n">
        <x:v>660</x:v>
      </x:c>
      <x:c r="D18" s="42" t="n">
        <x:v>51</x:v>
      </x:c>
      <x:c r="E18" s="23" t="str">
        <x:v>God</x:v>
      </x:c>
      <x:c r="F18" s="2"/>
      <x:c r="G18" s="2"/>
      <x:c r="H18" s="2"/>
      <x:c r="I18" s="2"/>
      <x:c r="J18" s="2"/>
      <x:c r="K18" s="2"/>
      <x:c r="L18" s="2"/>
      <x:c r="M18" s="2"/>
      <x:c r="N18" s="2"/>
    </x:row>
    <x:row r="19">
      <x:c r="A19" s="22" t="str">
        <x:v>2026-10-13</x:v>
      </x:c>
      <x:c r="B19" s="2" t="str">
        <x:v>tirs.</x:v>
      </x:c>
      <x:c r="C19" s="42" t="n">
        <x:v>667</x:v>
      </x:c>
      <x:c r="D19" s="42" t="n">
        <x:v>64</x:v>
      </x:c>
      <x:c r="E19" s="23" t="str">
        <x:v>God</x:v>
      </x:c>
      <x:c r="F19" s="2"/>
      <x:c r="G19" s="2"/>
      <x:c r="H19" s="2"/>
      <x:c r="I19" s="2"/>
      <x:c r="J19" s="2"/>
      <x:c r="K19" s="2"/>
      <x:c r="L19" s="2"/>
      <x:c r="M19" s="2"/>
      <x:c r="N19" s="2"/>
    </x:row>
    <x:row r="20">
      <x:c r="A20" s="22" t="str">
        <x:v>2026-10-14</x:v>
      </x:c>
      <x:c r="B20" s="2" t="str">
        <x:v>ons.</x:v>
      </x:c>
      <x:c r="C20" s="42" t="n">
        <x:v>653</x:v>
      </x:c>
      <x:c r="D20" s="42" t="n">
        <x:v>62</x:v>
      </x:c>
      <x:c r="E20" s="23" t="str">
        <x:v>God</x:v>
      </x:c>
      <x:c r="F20" s="2"/>
      <x:c r="G20" s="2"/>
      <x:c r="H20" s="2"/>
      <x:c r="I20" s="2"/>
      <x:c r="J20" s="2"/>
      <x:c r="K20" s="2"/>
      <x:c r="L20" s="2"/>
      <x:c r="M20" s="2"/>
      <x:c r="N20" s="2"/>
    </x:row>
    <x:row r="21">
      <x:c r="A21" s="22" t="str">
        <x:v>2026-10-15</x:v>
      </x:c>
      <x:c r="B21" s="2" t="str">
        <x:v>tors.</x:v>
      </x:c>
      <x:c r="C21" s="42" t="n">
        <x:v>654</x:v>
      </x:c>
      <x:c r="D21" s="42" t="n">
        <x:v>76</x:v>
      </x:c>
      <x:c r="E21" s="23" t="str">
        <x:v>God</x:v>
      </x:c>
      <x:c r="F21" s="2"/>
      <x:c r="G21" s="2"/>
      <x:c r="H21" s="2"/>
      <x:c r="I21" s="2"/>
      <x:c r="J21" s="2"/>
      <x:c r="K21" s="2"/>
      <x:c r="L21" s="2"/>
      <x:c r="M21" s="2"/>
      <x:c r="N21" s="2"/>
    </x:row>
    <x:row r="22">
      <x:c r="A22" s="22" t="str">
        <x:v>2026-10-16</x:v>
      </x:c>
      <x:c r="B22" s="2" t="str">
        <x:v>fre.</x:v>
      </x:c>
      <x:c r="C22" s="42" t="n">
        <x:v>662</x:v>
      </x:c>
      <x:c r="D22" s="42" t="n">
        <x:v>62</x:v>
      </x:c>
      <x:c r="E22" s="23" t="str">
        <x:v>God</x:v>
      </x:c>
      <x:c r="F22" s="2"/>
      <x:c r="G22" s="2"/>
      <x:c r="H22" s="2"/>
      <x:c r="I22" s="2"/>
      <x:c r="J22" s="2"/>
      <x:c r="K22" s="2"/>
      <x:c r="L22" s="2"/>
      <x:c r="M22" s="2"/>
      <x:c r="N22" s="2"/>
    </x:row>
    <x:row r="23">
      <x:c r="A23" s="22" t="str">
        <x:v>2026-10-17</x:v>
      </x:c>
      <x:c r="B23" s="2" t="str">
        <x:v>lør.</x:v>
      </x:c>
      <x:c r="C23" s="42" t="n">
        <x:v>654</x:v>
      </x:c>
      <x:c r="D23" s="42" t="n">
        <x:v>149</x:v>
      </x:c>
      <x:c r="E23" s="23" t="str">
        <x:v>God</x:v>
      </x:c>
      <x:c r="F23" s="2"/>
      <x:c r="G23" s="2"/>
      <x:c r="H23" s="2"/>
      <x:c r="I23" s="2"/>
      <x:c r="J23" s="2"/>
      <x:c r="K23" s="2"/>
      <x:c r="L23" s="2"/>
      <x:c r="M23" s="2"/>
      <x:c r="N23" s="2"/>
    </x:row>
    <x:row r="24">
      <x:c r="A24" s="22" t="str">
        <x:v>2026-10-18</x:v>
      </x:c>
      <x:c r="B24" s="2" t="str">
        <x:v>søn.</x:v>
      </x:c>
      <x:c r="C24" s="42" t="n">
        <x:v>644</x:v>
      </x:c>
      <x:c r="D24" s="42" t="n">
        <x:v>46</x:v>
      </x:c>
      <x:c r="E24" s="23" t="str">
        <x:v>God</x:v>
      </x:c>
      <x:c r="F24" s="2"/>
      <x:c r="G24" s="2"/>
      <x:c r="H24" s="2"/>
      <x:c r="I24" s="2"/>
      <x:c r="J24" s="2"/>
      <x:c r="K24" s="2"/>
      <x:c r="L24" s="2"/>
      <x:c r="M24" s="2"/>
      <x:c r="N24" s="2"/>
    </x:row>
    <x:row r="25">
      <x:c r="A25" s="22" t="str">
        <x:v>2026-10-19</x:v>
      </x:c>
      <x:c r="B25" s="2" t="str">
        <x:v>man.</x:v>
      </x:c>
      <x:c r="C25" s="42" t="n">
        <x:v>750</x:v>
      </x:c>
      <x:c r="D25" s="42" t="n">
        <x:v>149</x:v>
      </x:c>
      <x:c r="E25" s="23" t="str">
        <x:v>God</x:v>
      </x:c>
      <x:c r="F25" s="2"/>
      <x:c r="G25" s="2"/>
      <x:c r="H25" s="2"/>
      <x:c r="I25" s="2"/>
      <x:c r="J25" s="2"/>
      <x:c r="K25" s="2"/>
      <x:c r="L25" s="2"/>
      <x:c r="M25" s="2"/>
      <x:c r="N25" s="2"/>
    </x:row>
    <x:row r="26">
      <x:c r="A26" s="22" t="str">
        <x:v>2026-10-20</x:v>
      </x:c>
      <x:c r="B26" s="2" t="str">
        <x:v>tirs.</x:v>
      </x:c>
      <x:c r="C26" s="42" t="n">
        <x:v>764</x:v>
      </x:c>
      <x:c r="D26" s="42" t="n">
        <x:v>338</x:v>
      </x:c>
      <x:c r="E26" s="23" t="str">
        <x:v>God</x:v>
      </x:c>
      <x:c r="F26" s="2"/>
      <x:c r="G26" s="2"/>
      <x:c r="H26" s="2"/>
      <x:c r="I26" s="2"/>
      <x:c r="J26" s="2"/>
      <x:c r="K26" s="2"/>
      <x:c r="L26" s="2"/>
      <x:c r="M26" s="2"/>
      <x:c r="N26" s="2"/>
    </x:row>
    <x:row r="27">
      <x:c r="A27" s="22" t="str">
        <x:v>2026-10-21</x:v>
      </x:c>
      <x:c r="B27" s="2" t="str">
        <x:v>ons.</x:v>
      </x:c>
      <x:c r="C27" s="42" t="n">
        <x:v>644</x:v>
      </x:c>
      <x:c r="D27" s="42" t="n">
        <x:v>337</x:v>
      </x:c>
      <x:c r="E27" s="23" t="str">
        <x:v>God</x:v>
      </x:c>
      <x:c r="F27" s="2"/>
      <x:c r="G27" s="2"/>
      <x:c r="H27" s="2"/>
      <x:c r="I27" s="2"/>
      <x:c r="J27" s="2"/>
      <x:c r="K27" s="2"/>
      <x:c r="L27" s="2"/>
      <x:c r="M27" s="2"/>
      <x:c r="N27" s="2"/>
    </x:row>
    <x:row r="28">
      <x:c r="A28" s="22" t="str">
        <x:v>2026-10-22</x:v>
      </x:c>
      <x:c r="B28" s="2" t="str">
        <x:v>tors.</x:v>
      </x:c>
      <x:c r="C28" s="42" t="n">
        <x:v>644</x:v>
      </x:c>
      <x:c r="D28" s="42" t="n">
        <x:v>241</x:v>
      </x:c>
      <x:c r="E28" s="23" t="str">
        <x:v>God</x:v>
      </x:c>
      <x:c r="F28" s="2"/>
      <x:c r="G28" s="2"/>
      <x:c r="H28" s="2"/>
      <x:c r="I28" s="2"/>
      <x:c r="J28" s="2"/>
      <x:c r="K28" s="2"/>
      <x:c r="L28" s="2"/>
      <x:c r="M28" s="2"/>
      <x:c r="N28" s="2"/>
    </x:row>
    <x:row r="29">
      <x:c r="A29" s="22" t="str">
        <x:v>2026-10-23</x:v>
      </x:c>
      <x:c r="B29" s="2" t="str">
        <x:v>fre.</x:v>
      </x:c>
      <x:c r="C29" s="42" t="n">
        <x:v>644</x:v>
      </x:c>
      <x:c r="D29" s="42" t="n">
        <x:v>191</x:v>
      </x:c>
      <x:c r="E29" s="23" t="str">
        <x:v>God</x:v>
      </x:c>
      <x:c r="F29" s="2"/>
      <x:c r="G29" s="2"/>
      <x:c r="H29" s="2"/>
      <x:c r="I29" s="2"/>
      <x:c r="J29" s="2"/>
      <x:c r="K29" s="2"/>
      <x:c r="L29" s="2"/>
      <x:c r="M29" s="2"/>
      <x:c r="N29" s="2"/>
    </x:row>
    <x:row r="30">
      <x:c r="A30" s="22" t="str">
        <x:v>2026-10-24</x:v>
      </x:c>
      <x:c r="B30" s="2" t="str">
        <x:v>lør.</x:v>
      </x:c>
      <x:c r="C30" s="42" t="n">
        <x:v>644</x:v>
      </x:c>
      <x:c r="D30" s="42" t="n">
        <x:v>192</x:v>
      </x:c>
      <x:c r="E30" s="23" t="str">
        <x:v>God</x:v>
      </x:c>
      <x:c r="F30" s="2"/>
      <x:c r="G30" s="2"/>
      <x:c r="H30" s="2"/>
      <x:c r="I30" s="2"/>
      <x:c r="J30" s="2"/>
      <x:c r="K30" s="2"/>
      <x:c r="L30" s="2"/>
      <x:c r="M30" s="2"/>
      <x:c r="N30" s="2"/>
    </x:row>
    <x:row r="31">
      <x:c r="A31" s="22" t="str">
        <x:v>2026-10-25</x:v>
      </x:c>
      <x:c r="B31" s="2" t="str">
        <x:v>søn.</x:v>
      </x:c>
      <x:c r="C31" s="42" t="n">
        <x:v>644</x:v>
      </x:c>
      <x:c r="D31" s="42" t="n">
        <x:v>64</x:v>
      </x:c>
      <x:c r="E31" s="23" t="str">
        <x:v>God</x:v>
      </x:c>
      <x:c r="F31" s="2"/>
      <x:c r="G31" s="2"/>
      <x:c r="H31" s="2"/>
      <x:c r="I31" s="2"/>
      <x:c r="J31" s="2"/>
      <x:c r="K31" s="2"/>
      <x:c r="L31" s="2"/>
      <x:c r="M31" s="2"/>
      <x:c r="N31" s="2"/>
    </x:row>
    <x:row r="32">
      <x:c r="A32" s="22" t="str">
        <x:v>2026-10-26</x:v>
      </x:c>
      <x:c r="B32" s="2" t="str">
        <x:v>man.</x:v>
      </x:c>
      <x:c r="C32" s="42" t="n">
        <x:v>644</x:v>
      </x:c>
      <x:c r="D32" s="42" t="n">
        <x:v>143</x:v>
      </x:c>
      <x:c r="E32" s="23" t="str">
        <x:v>God</x:v>
      </x:c>
      <x:c r="F32" s="2"/>
      <x:c r="G32" s="2"/>
      <x:c r="H32" s="2"/>
      <x:c r="I32" s="2"/>
      <x:c r="J32" s="2"/>
      <x:c r="K32" s="2"/>
      <x:c r="L32" s="2"/>
      <x:c r="M32" s="2"/>
      <x:c r="N32" s="2"/>
    </x:row>
    <x:row r="33">
      <x:c r="A33" s="22" t="str">
        <x:v>2026-10-27</x:v>
      </x:c>
      <x:c r="B33" s="2" t="str">
        <x:v>tirs.</x:v>
      </x:c>
      <x:c r="C33" s="42" t="n">
        <x:v>644</x:v>
      </x:c>
      <x:c r="D33" s="42" t="n">
        <x:v>337</x:v>
      </x:c>
      <x:c r="E33" s="23" t="str">
        <x:v>God</x:v>
      </x:c>
      <x:c r="F33" s="2"/>
      <x:c r="G33" s="2"/>
      <x:c r="H33" s="2"/>
      <x:c r="I33" s="2"/>
      <x:c r="J33" s="2"/>
      <x:c r="K33" s="2"/>
      <x:c r="L33" s="2"/>
      <x:c r="M33" s="2"/>
      <x:c r="N33" s="2"/>
    </x:row>
    <x:row r="34">
      <x:c r="A34" s="22" t="str">
        <x:v>2026-10-28</x:v>
      </x:c>
      <x:c r="B34" s="2" t="str">
        <x:v>ons.</x:v>
      </x:c>
      <x:c r="C34" s="42" t="n">
        <x:v>644</x:v>
      </x:c>
      <x:c r="D34" s="42" t="n">
        <x:v>338</x:v>
      </x:c>
      <x:c r="E34" s="23" t="str">
        <x:v>God</x:v>
      </x:c>
      <x:c r="F34" s="2"/>
      <x:c r="G34" s="2"/>
      <x:c r="H34" s="2"/>
      <x:c r="I34" s="2"/>
      <x:c r="J34" s="2"/>
      <x:c r="K34" s="2"/>
      <x:c r="L34" s="2"/>
      <x:c r="M34" s="2"/>
      <x:c r="N34" s="2"/>
    </x:row>
    <x:row r="35">
      <x:c r="A35" s="22" t="str">
        <x:v>2026-10-29</x:v>
      </x:c>
      <x:c r="B35" s="2" t="str">
        <x:v>tors.</x:v>
      </x:c>
      <x:c r="C35" s="42" t="n">
        <x:v>644</x:v>
      </x:c>
      <x:c r="D35" s="42" t="n">
        <x:v>231</x:v>
      </x:c>
      <x:c r="E35" s="23" t="str">
        <x:v>God</x:v>
      </x:c>
      <x:c r="F35" s="2"/>
      <x:c r="G35" s="2"/>
      <x:c r="H35" s="2"/>
      <x:c r="I35" s="2"/>
      <x:c r="J35" s="2"/>
      <x:c r="K35" s="2"/>
      <x:c r="L35" s="2"/>
      <x:c r="M35" s="2"/>
      <x:c r="N35" s="2"/>
    </x:row>
    <x:row r="36">
      <x:c r="A36" s="22" t="str">
        <x:v>2026-10-30</x:v>
      </x:c>
      <x:c r="B36" s="2" t="str">
        <x:v>fre.</x:v>
      </x:c>
      <x:c r="C36" s="42" t="n">
        <x:v>644</x:v>
      </x:c>
      <x:c r="D36" s="42" t="n">
        <x:v>181</x:v>
      </x:c>
      <x:c r="E36" s="23" t="str">
        <x:v>God</x:v>
      </x:c>
      <x:c r="F36" s="2"/>
      <x:c r="G36" s="2"/>
      <x:c r="H36" s="2"/>
      <x:c r="I36" s="2"/>
      <x:c r="J36" s="2"/>
      <x:c r="K36" s="2"/>
      <x:c r="L36" s="2"/>
      <x:c r="M36" s="2"/>
      <x:c r="N36" s="2"/>
    </x:row>
    <x:row r="37">
      <x:c r="A37" s="22" t="str">
        <x:v>2026-10-31</x:v>
      </x:c>
      <x:c r="B37" s="2" t="str">
        <x:v>lør.</x:v>
      </x:c>
      <x:c r="C37" s="42" t="n">
        <x:v>644</x:v>
      </x:c>
      <x:c r="D37" s="42" t="n">
        <x:v>191</x:v>
      </x:c>
      <x:c r="E37" s="23" t="str">
        <x:v>God</x:v>
      </x:c>
      <x:c r="F37" s="2"/>
      <x:c r="G37" s="2"/>
      <x:c r="H37" s="2"/>
      <x:c r="I37" s="2"/>
      <x:c r="J37" s="2"/>
      <x:c r="K37" s="2"/>
      <x:c r="L37" s="2"/>
      <x:c r="M37" s="2"/>
      <x:c r="N37" s="2"/>
    </x:row>
    <x:row r="38">
      <x:c r="A38" s="22" t="str">
        <x:v>2026-11-01</x:v>
      </x:c>
      <x:c r="B38" s="2" t="str">
        <x:v>søn.</x:v>
      </x:c>
      <x:c r="C38" s="42" t="n">
        <x:v>644</x:v>
      </x:c>
      <x:c r="D38" s="42" t="n">
        <x:v>46</x:v>
      </x:c>
      <x:c r="E38" s="23" t="str">
        <x:v>God</x:v>
      </x:c>
      <x:c r="F38" s="2"/>
      <x:c r="G38" s="2"/>
      <x:c r="H38" s="2"/>
      <x:c r="I38" s="2"/>
      <x:c r="J38" s="2"/>
      <x:c r="K38" s="2"/>
      <x:c r="L38" s="2"/>
      <x:c r="M38" s="2"/>
      <x:c r="N38" s="2"/>
    </x:row>
    <x:row r="39">
      <x:c r="A39" s="22" t="str">
        <x:v>2026-11-02</x:v>
      </x:c>
      <x:c r="B39" s="2" t="str">
        <x:v>man.</x:v>
      </x:c>
      <x:c r="C39" s="42" t="n">
        <x:v>644</x:v>
      </x:c>
      <x:c r="D39" s="42" t="n">
        <x:v>46</x:v>
      </x:c>
      <x:c r="E39" s="23" t="str">
        <x:v>God</x:v>
      </x:c>
      <x:c r="F39" s="2"/>
      <x:c r="G39" s="2"/>
      <x:c r="H39" s="2"/>
      <x:c r="I39" s="2"/>
      <x:c r="J39" s="2"/>
      <x:c r="K39" s="2"/>
      <x:c r="L39" s="2"/>
      <x:c r="M39" s="2"/>
      <x:c r="N39" s="2"/>
    </x:row>
    <x:row r="40">
      <x:c r="A40" s="22" t="str">
        <x:v>2026-11-03</x:v>
      </x:c>
      <x:c r="B40" s="2" t="str">
        <x:v>tirs.</x:v>
      </x:c>
      <x:c r="C40" s="42" t="n">
        <x:v>644</x:v>
      </x:c>
      <x:c r="D40" s="42" t="n">
        <x:v>143</x:v>
      </x:c>
      <x:c r="E40" s="23" t="str">
        <x:v>God</x:v>
      </x:c>
      <x:c r="F40" s="2"/>
      <x:c r="G40" s="2"/>
      <x:c r="H40" s="2"/>
      <x:c r="I40" s="2"/>
      <x:c r="J40" s="2"/>
      <x:c r="K40" s="2"/>
      <x:c r="L40" s="2"/>
      <x:c r="M40" s="2"/>
      <x:c r="N40" s="2"/>
    </x:row>
    <x:row r="41">
      <x:c r="A41" s="22" t="str">
        <x:v>2026-11-04</x:v>
      </x:c>
      <x:c r="B41" s="2" t="str">
        <x:v>ons.</x:v>
      </x:c>
      <x:c r="C41" s="42" t="n">
        <x:v>644</x:v>
      </x:c>
      <x:c r="D41" s="42" t="n">
        <x:v>143</x:v>
      </x:c>
      <x:c r="E41" s="23" t="str">
        <x:v>God</x:v>
      </x:c>
      <x:c r="F41" s="2"/>
      <x:c r="G41" s="2"/>
      <x:c r="H41" s="2"/>
      <x:c r="I41" s="2"/>
      <x:c r="J41" s="2"/>
      <x:c r="K41" s="2"/>
      <x:c r="L41" s="2"/>
      <x:c r="M41" s="2"/>
      <x:c r="N41" s="2"/>
    </x:row>
    <x:row r="42">
      <x:c r="A42" s="22" t="str">
        <x:v>2026-11-05</x:v>
      </x:c>
      <x:c r="B42" s="2" t="str">
        <x:v>tors.</x:v>
      </x:c>
      <x:c r="C42" s="42" t="n">
        <x:v>644</x:v>
      </x:c>
      <x:c r="D42" s="42" t="n">
        <x:v>46</x:v>
      </x:c>
      <x:c r="E42" s="23" t="str">
        <x:v>God</x:v>
      </x:c>
      <x:c r="F42" s="2"/>
      <x:c r="G42" s="2"/>
      <x:c r="H42" s="2"/>
      <x:c r="I42" s="2"/>
      <x:c r="J42" s="2"/>
      <x:c r="K42" s="2"/>
      <x:c r="L42" s="2"/>
      <x:c r="M42" s="2"/>
      <x:c r="N42" s="2"/>
    </x:row>
    <x:row r="43">
      <x:c r="A43" s="22" t="str">
        <x:v>2026-11-06</x:v>
      </x:c>
      <x:c r="B43" s="2" t="str">
        <x:v>fre.</x:v>
      </x:c>
      <x:c r="C43" s="42" t="n">
        <x:v>752</x:v>
      </x:c>
      <x:c r="D43" s="42" t="n">
        <x:v>180</x:v>
      </x:c>
      <x:c r="E43" s="23" t="str">
        <x:v>Brugbar</x:v>
      </x:c>
      <x:c r="F43" s="2"/>
      <x:c r="G43" s="2"/>
      <x:c r="H43" s="2"/>
      <x:c r="I43" s="2"/>
      <x:c r="J43" s="2"/>
      <x:c r="K43" s="2"/>
      <x:c r="L43" s="2"/>
      <x:c r="M43" s="2"/>
      <x:c r="N43" s="2"/>
    </x:row>
    <x:row r="44">
      <x:c r="A44" s="24" t="str">
        <x:v>2026-11-07</x:v>
      </x:c>
      <x:c r="B44" s="25" t="str">
        <x:v>lør.</x:v>
      </x:c>
      <x:c r="C44" s="43"/>
      <x:c r="D44" s="43"/>
      <x:c r="E44" s="26" t="str">
        <x:v>For lidt data</x:v>
      </x:c>
      <x:c r="F44" s="2"/>
      <x:c r="G44" s="2"/>
      <x:c r="H44" s="2"/>
      <x:c r="I44" s="2"/>
      <x:c r="J44" s="2"/>
      <x:c r="K44" s="2"/>
      <x:c r="L44" s="2"/>
      <x:c r="M44" s="2"/>
      <x:c r="N44" s="2"/>
    </x:row>
  </x:sheetData>
  <x:conditionalFormatting sqref="E9:E44">
    <x:cfRule type="containsText" dxfId="3" priority="1" operator="containsText" text="For lidt data"/>
    <x:cfRule type="containsText" dxfId="4" priority="2" operator="containsText" text="Brugbar"/>
    <x:cfRule type="containsText" dxfId="5" priority="3" operator="containsText" text="God"/>
  </x:conditionalFormatting>
  <x:pageMargins left="0.7" right="0.7" top="0.75" bottom="0.75" header="0.3" footer="0.3"/>
  <x:drawing xmlns:r="http://schemas.openxmlformats.org/officeDocument/2006/relationships" r:id="Ra09dcfe9e2c04c6c"/>
</x:worksheet>
</file>

<file path=xl/worksheets/sheet2.xml><?xml version="1.0" encoding="utf-8"?>
<x:worksheet xmlns:x="http://schemas.openxmlformats.org/spreadsheetml/2006/main">
  <x:sheetPr>
    <x:tabColor rgb="FF2F6F97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8" hidden="0" customWidth="1"/>
    <x:col min="3" max="3" width="18" hidden="0" customWidth="1"/>
    <x:col min="4" max="4" width="9" hidden="0" customWidth="1"/>
    <x:col min="5" max="5" width="15" hidden="0" customWidth="1"/>
    <x:col min="6" max="6" width="15" hidden="0" customWidth="1"/>
    <x:col min="7" max="7" width="15" hidden="0" customWidth="1"/>
    <x:col min="8" max="8" width="17" hidden="0" customWidth="1"/>
    <x:col min="9" max="9" width="17" hidden="0" customWidth="1"/>
    <x:col min="10" max="10" width="13" hidden="0" customWidth="1"/>
    <x:col min="11" max="11" width="58" hidden="0" customWidth="1"/>
  </x:cols>
  <x:sheetData>
    <x:row r="1" ht="15" hidden="0" customHeight="1">
      <x:c r="A1" s="31" t="str">
        <x:v>dato</x:v>
      </x:c>
      <x:c r="B1" s="38" t="str">
        <x:v>medianpris_vaerelse</x:v>
      </x:c>
      <x:c r="C1" s="38" t="str">
        <x:v>medianpris_seng</x:v>
      </x:c>
      <x:c r="D1" s="38" t="str">
        <x:v>antal</x:v>
      </x:c>
      <x:c r="E1" s="38" t="str">
        <x:v>laveste_budget</x:v>
      </x:c>
      <x:c r="F1" s="38" t="str">
        <x:v>hoejeste_budget</x:v>
      </x:c>
      <x:c r="G1" s="38" t="str">
        <x:v>spredning_budget</x:v>
      </x:c>
      <x:c r="H1" s="38" t="str">
        <x:v>robertas_society</x:v>
      </x:c>
      <x:c r="I1" s="20" t="str">
        <x:v>milling_hotel_ritz</x:v>
      </x:c>
      <x:c r="J1" s="20" t="str">
        <x:v>datakvalitet</x:v>
      </x:c>
      <x:c r="K1" s="21" t="str">
        <x:v>note</x:v>
      </x:c>
    </x:row>
    <x:row r="2" ht="15" hidden="0" customHeight="1">
      <x:c r="A2" s="33" t="n">
        <x:v>46299</x:v>
      </x:c>
      <x:c r="B2" s="2" t="n">
        <x:v>644</x:v>
      </x:c>
      <x:c r="C2" s="2"/>
      <x:c r="D2" s="2" t="n">
        <x:v>3</x:v>
      </x:c>
      <x:c r="E2" s="2" t="n">
        <x:v>616</x:v>
      </x:c>
      <x:c r="F2" s="2" t="n">
        <x:v>700</x:v>
      </x:c>
      <x:c r="G2" s="2" t="n">
        <x:v>84</x:v>
      </x:c>
      <x:c r="H2" s="2" t="n">
        <x:v>387</x:v>
      </x:c>
      <x:c r="I2" s="2" t="n">
        <x:v>976</x:v>
      </x:c>
      <x:c r="J2" s="2" t="str">
        <x:v>God</x:v>
      </x:c>
      <x:c r="K2" s="23" t="str">
        <x:v>Median baseret på Cabinn, Wakeup og Aarhus Hostel og Hotel</x:v>
      </x:c>
    </x:row>
    <x:row r="3" ht="15" hidden="0" customHeight="1">
      <x:c r="A3" s="33" t="n">
        <x:v>46300</x:v>
      </x:c>
      <x:c r="B3" s="2" t="n">
        <x:v>777</x:v>
      </x:c>
      <x:c r="C3" s="2"/>
      <x:c r="D3" s="2" t="n">
        <x:v>3</x:v>
      </x:c>
      <x:c r="E3" s="2" t="n">
        <x:v>616</x:v>
      </x:c>
      <x:c r="F3" s="2" t="n">
        <x:v>783</x:v>
      </x:c>
      <x:c r="G3" s="2" t="n">
        <x:v>167</x:v>
      </x:c>
      <x:c r="H3" s="2" t="n">
        <x:v>359</x:v>
      </x:c>
      <x:c r="I3" s="2" t="n">
        <x:v>1512</x:v>
      </x:c>
      <x:c r="J3" s="2" t="str">
        <x:v>God</x:v>
      </x:c>
      <x:c r="K3" s="23" t="str">
        <x:v>Median baseret på Cabinn, Wakeup og Aarhus Hostel og Hotel</x:v>
      </x:c>
    </x:row>
    <x:row r="4" ht="15" hidden="0" customHeight="1">
      <x:c r="A4" s="33" t="n">
        <x:v>46301</x:v>
      </x:c>
      <x:c r="B4" s="2" t="n">
        <x:v>766</x:v>
      </x:c>
      <x:c r="C4" s="2"/>
      <x:c r="D4" s="2" t="n">
        <x:v>3</x:v>
      </x:c>
      <x:c r="E4" s="2" t="n">
        <x:v>616</x:v>
      </x:c>
      <x:c r="F4" s="2" t="n">
        <x:v>967</x:v>
      </x:c>
      <x:c r="G4" s="2" t="n">
        <x:v>351</x:v>
      </x:c>
      <x:c r="H4" s="2" t="n">
        <x:v>437</x:v>
      </x:c>
      <x:c r="I4" s="2" t="n">
        <x:v>2139</x:v>
      </x:c>
      <x:c r="J4" s="2" t="str">
        <x:v>God</x:v>
      </x:c>
      <x:c r="K4" s="23" t="str">
        <x:v>Median baseret på Cabinn, Wakeup og Aarhus Hostel og Hotel</x:v>
      </x:c>
    </x:row>
    <x:row r="5" ht="15" hidden="0" customHeight="1">
      <x:c r="A5" s="33" t="n">
        <x:v>46302</x:v>
      </x:c>
      <x:c r="B5" s="2" t="n">
        <x:v>783</x:v>
      </x:c>
      <x:c r="C5" s="2"/>
      <x:c r="D5" s="2" t="n">
        <x:v>3</x:v>
      </x:c>
      <x:c r="E5" s="2" t="n">
        <x:v>599</x:v>
      </x:c>
      <x:c r="F5" s="2" t="n">
        <x:v>961</x:v>
      </x:c>
      <x:c r="G5" s="2" t="n">
        <x:v>362</x:v>
      </x:c>
      <x:c r="H5" s="2" t="n">
        <x:v>364</x:v>
      </x:c>
      <x:c r="I5" s="2" t="n">
        <x:v>1862</x:v>
      </x:c>
      <x:c r="J5" s="2" t="str">
        <x:v>God</x:v>
      </x:c>
      <x:c r="K5" s="23" t="str">
        <x:v>Median baseret på Cabinn, Wakeup og Aarhus Hostel og Hotel</x:v>
      </x:c>
    </x:row>
    <x:row r="6" ht="15" hidden="0" customHeight="1">
      <x:c r="A6" s="33" t="n">
        <x:v>46303</x:v>
      </x:c>
      <x:c r="B6" s="2" t="n">
        <x:v>766</x:v>
      </x:c>
      <x:c r="C6" s="2"/>
      <x:c r="D6" s="2" t="n">
        <x:v>3</x:v>
      </x:c>
      <x:c r="E6" s="2" t="n">
        <x:v>616</x:v>
      </x:c>
      <x:c r="F6" s="2" t="n">
        <x:v>900</x:v>
      </x:c>
      <x:c r="G6" s="2" t="n">
        <x:v>284</x:v>
      </x:c>
      <x:c r="H6" s="2" t="n">
        <x:v>349</x:v>
      </x:c>
      <x:c r="I6" s="2" t="n">
        <x:v>1280</x:v>
      </x:c>
      <x:c r="J6" s="2" t="str">
        <x:v>God</x:v>
      </x:c>
      <x:c r="K6" s="23" t="str">
        <x:v>Median baseret på Cabinn, Wakeup og Aarhus Hostel og Hotel</x:v>
      </x:c>
    </x:row>
    <x:row r="7" ht="15" hidden="0" customHeight="1">
      <x:c r="A7" s="33" t="n">
        <x:v>46304</x:v>
      </x:c>
      <x:c r="B7" s="2" t="n">
        <x:v>800</x:v>
      </x:c>
      <x:c r="C7" s="2"/>
      <x:c r="D7" s="2" t="n">
        <x:v>3</x:v>
      </x:c>
      <x:c r="E7" s="2" t="n">
        <x:v>616</x:v>
      </x:c>
      <x:c r="F7" s="2" t="n">
        <x:v>800</x:v>
      </x:c>
      <x:c r="G7" s="2" t="n">
        <x:v>184</x:v>
      </x:c>
      <x:c r="H7" s="2" t="n">
        <x:v>501</x:v>
      </x:c>
      <x:c r="I7" s="2" t="n">
        <x:v>1232</x:v>
      </x:c>
      <x:c r="J7" s="2" t="str">
        <x:v>God</x:v>
      </x:c>
      <x:c r="K7" s="23" t="str">
        <x:v>Median baseret på Cabinn, Wakeup og Aarhus Hostel og Hotel</x:v>
      </x:c>
    </x:row>
    <x:row r="8" ht="15" hidden="0" customHeight="1">
      <x:c r="A8" s="33" t="n">
        <x:v>46305</x:v>
      </x:c>
      <x:c r="B8" s="2" t="n">
        <x:v>800</x:v>
      </x:c>
      <x:c r="C8" s="2"/>
      <x:c r="D8" s="2" t="n">
        <x:v>3</x:v>
      </x:c>
      <x:c r="E8" s="2" t="n">
        <x:v>616</x:v>
      </x:c>
      <x:c r="F8" s="2" t="n">
        <x:v>845</x:v>
      </x:c>
      <x:c r="G8" s="2" t="n">
        <x:v>229</x:v>
      </x:c>
      <x:c r="H8" s="2" t="n">
        <x:v>728</x:v>
      </x:c>
      <x:c r="I8" s="2" t="n">
        <x:v>1654</x:v>
      </x:c>
      <x:c r="J8" s="2" t="str">
        <x:v>God</x:v>
      </x:c>
      <x:c r="K8" s="23" t="str">
        <x:v>Median baseret på Cabinn, Wakeup og Aarhus Hostel og Hotel</x:v>
      </x:c>
    </x:row>
    <x:row r="9" ht="15" hidden="0" customHeight="1">
      <x:c r="A9" s="33" t="n">
        <x:v>46306</x:v>
      </x:c>
      <x:c r="B9" s="2" t="n">
        <x:v>644</x:v>
      </x:c>
      <x:c r="C9" s="2"/>
      <x:c r="D9" s="2" t="n">
        <x:v>3</x:v>
      </x:c>
      <x:c r="E9" s="2" t="n">
        <x:v>616</x:v>
      </x:c>
      <x:c r="F9" s="2" t="n">
        <x:v>680</x:v>
      </x:c>
      <x:c r="G9" s="2" t="n">
        <x:v>64</x:v>
      </x:c>
      <x:c r="H9" s="2" t="n">
        <x:v>343</x:v>
      </x:c>
      <x:c r="I9" s="2" t="n">
        <x:v>1037</x:v>
      </x:c>
      <x:c r="J9" s="2" t="str">
        <x:v>God</x:v>
      </x:c>
      <x:c r="K9" s="23" t="str">
        <x:v>Median baseret på Cabinn, Wakeup og Aarhus Hostel og Hotel</x:v>
      </x:c>
    </x:row>
    <x:row r="10" ht="15" hidden="0" customHeight="1">
      <x:c r="A10" s="33" t="n">
        <x:v>46307</x:v>
      </x:c>
      <x:c r="B10" s="2" t="n">
        <x:v>660</x:v>
      </x:c>
      <x:c r="C10" s="2"/>
      <x:c r="D10" s="2" t="n">
        <x:v>3</x:v>
      </x:c>
      <x:c r="E10" s="2" t="n">
        <x:v>616</x:v>
      </x:c>
      <x:c r="F10" s="2" t="n">
        <x:v>667</x:v>
      </x:c>
      <x:c r="G10" s="2" t="n">
        <x:v>51</x:v>
      </x:c>
      <x:c r="H10" s="2" t="n">
        <x:v>555</x:v>
      </x:c>
      <x:c r="I10" s="2" t="n">
        <x:v>1290</x:v>
      </x:c>
      <x:c r="J10" s="2" t="str">
        <x:v>God</x:v>
      </x:c>
      <x:c r="K10" s="23" t="str">
        <x:v>Median baseret på Cabinn, Wakeup og Aarhus Hostel og Hotel</x:v>
      </x:c>
    </x:row>
    <x:row r="11" ht="15" hidden="0" customHeight="1">
      <x:c r="A11" s="33" t="n">
        <x:v>46308</x:v>
      </x:c>
      <x:c r="B11" s="2" t="n">
        <x:v>667</x:v>
      </x:c>
      <x:c r="C11" s="2"/>
      <x:c r="D11" s="2" t="n">
        <x:v>3</x:v>
      </x:c>
      <x:c r="E11" s="2" t="n">
        <x:v>616</x:v>
      </x:c>
      <x:c r="F11" s="2" t="n">
        <x:v>680</x:v>
      </x:c>
      <x:c r="G11" s="2" t="n">
        <x:v>64</x:v>
      </x:c>
      <x:c r="H11" s="2" t="n">
        <x:v>451</x:v>
      </x:c>
      <x:c r="I11" s="2" t="n">
        <x:v>1092</x:v>
      </x:c>
      <x:c r="J11" s="2" t="str">
        <x:v>God</x:v>
      </x:c>
      <x:c r="K11" s="23" t="str">
        <x:v>Median baseret på Cabinn, Wakeup og Aarhus Hostel og Hotel</x:v>
      </x:c>
    </x:row>
    <x:row r="12" ht="15" hidden="0" customHeight="1">
      <x:c r="A12" s="33" t="n">
        <x:v>46309</x:v>
      </x:c>
      <x:c r="B12" s="2" t="n">
        <x:v>653</x:v>
      </x:c>
      <x:c r="C12" s="2"/>
      <x:c r="D12" s="2" t="n">
        <x:v>3</x:v>
      </x:c>
      <x:c r="E12" s="2" t="n">
        <x:v>616</x:v>
      </x:c>
      <x:c r="F12" s="2" t="n">
        <x:v>678</x:v>
      </x:c>
      <x:c r="G12" s="2" t="n">
        <x:v>62</x:v>
      </x:c>
      <x:c r="H12" s="2" t="n">
        <x:v>530</x:v>
      </x:c>
      <x:c r="I12" s="2" t="n">
        <x:v>1134</x:v>
      </x:c>
      <x:c r="J12" s="2" t="str">
        <x:v>God</x:v>
      </x:c>
      <x:c r="K12" s="23" t="str">
        <x:v>Median baseret på Cabinn, Wakeup og Aarhus Hostel og Hotel</x:v>
      </x:c>
    </x:row>
    <x:row r="13" ht="15" hidden="0" customHeight="1">
      <x:c r="A13" s="33" t="n">
        <x:v>46310</x:v>
      </x:c>
      <x:c r="B13" s="2" t="n">
        <x:v>654</x:v>
      </x:c>
      <x:c r="C13" s="2"/>
      <x:c r="D13" s="2" t="n">
        <x:v>3</x:v>
      </x:c>
      <x:c r="E13" s="2" t="n">
        <x:v>616</x:v>
      </x:c>
      <x:c r="F13" s="2" t="n">
        <x:v>692</x:v>
      </x:c>
      <x:c r="G13" s="2" t="n">
        <x:v>76</x:v>
      </x:c>
      <x:c r="H13" s="2" t="n">
        <x:v>454</x:v>
      </x:c>
      <x:c r="I13" s="2" t="n">
        <x:v>1118</x:v>
      </x:c>
      <x:c r="J13" s="2" t="str">
        <x:v>God</x:v>
      </x:c>
      <x:c r="K13" s="23" t="str">
        <x:v>Median baseret på Cabinn, Wakeup og Aarhus Hostel og Hotel</x:v>
      </x:c>
    </x:row>
    <x:row r="14" ht="15" hidden="0" customHeight="1">
      <x:c r="A14" s="33" t="n">
        <x:v>46311</x:v>
      </x:c>
      <x:c r="B14" s="2" t="n">
        <x:v>662</x:v>
      </x:c>
      <x:c r="C14" s="2"/>
      <x:c r="D14" s="2" t="n">
        <x:v>3</x:v>
      </x:c>
      <x:c r="E14" s="2" t="n">
        <x:v>616</x:v>
      </x:c>
      <x:c r="F14" s="2" t="n">
        <x:v>678</x:v>
      </x:c>
      <x:c r="G14" s="2" t="n">
        <x:v>62</x:v>
      </x:c>
      <x:c r="H14" s="2" t="n">
        <x:v>402</x:v>
      </x:c>
      <x:c r="I14" s="2" t="n">
        <x:v>1242</x:v>
      </x:c>
      <x:c r="J14" s="2" t="str">
        <x:v>God</x:v>
      </x:c>
      <x:c r="K14" s="23" t="str">
        <x:v>Median baseret på Cabinn, Wakeup og Aarhus Hostel og Hotel</x:v>
      </x:c>
    </x:row>
    <x:row r="15" ht="15" hidden="0" customHeight="1">
      <x:c r="A15" s="33" t="n">
        <x:v>46312</x:v>
      </x:c>
      <x:c r="B15" s="2" t="n">
        <x:v>654</x:v>
      </x:c>
      <x:c r="C15" s="2"/>
      <x:c r="D15" s="2" t="n">
        <x:v>3</x:v>
      </x:c>
      <x:c r="E15" s="2" t="n">
        <x:v>616</x:v>
      </x:c>
      <x:c r="F15" s="2" t="n">
        <x:v>765</x:v>
      </x:c>
      <x:c r="G15" s="2" t="n">
        <x:v>149</x:v>
      </x:c>
      <x:c r="H15" s="2" t="n">
        <x:v>427</x:v>
      </x:c>
      <x:c r="I15" s="2" t="n">
        <x:v>1153</x:v>
      </x:c>
      <x:c r="J15" s="2" t="str">
        <x:v>God</x:v>
      </x:c>
      <x:c r="K15" s="23" t="str">
        <x:v>Median baseret på Cabinn, Wakeup og Aarhus Hostel og Hotel</x:v>
      </x:c>
    </x:row>
    <x:row r="16" ht="15" hidden="0" customHeight="1">
      <x:c r="A16" s="33" t="n">
        <x:v>46313</x:v>
      </x:c>
      <x:c r="B16" s="2" t="n">
        <x:v>644</x:v>
      </x:c>
      <x:c r="C16" s="2"/>
      <x:c r="D16" s="2" t="n">
        <x:v>3</x:v>
      </x:c>
      <x:c r="E16" s="2" t="n">
        <x:v>616</x:v>
      </x:c>
      <x:c r="F16" s="2" t="n">
        <x:v>662</x:v>
      </x:c>
      <x:c r="G16" s="2" t="n">
        <x:v>46</x:v>
      </x:c>
      <x:c r="H16" s="2" t="n">
        <x:v>351</x:v>
      </x:c>
      <x:c r="I16" s="2" t="n">
        <x:v>900</x:v>
      </x:c>
      <x:c r="J16" s="2" t="str">
        <x:v>God</x:v>
      </x:c>
      <x:c r="K16" s="23" t="str">
        <x:v>Median baseret på Cabinn, Wakeup og Aarhus Hostel og Hotel</x:v>
      </x:c>
    </x:row>
    <x:row r="17" ht="15" hidden="0" customHeight="1">
      <x:c r="A17" s="33" t="n">
        <x:v>46314</x:v>
      </x:c>
      <x:c r="B17" s="2" t="n">
        <x:v>750</x:v>
      </x:c>
      <x:c r="C17" s="2"/>
      <x:c r="D17" s="2" t="n">
        <x:v>3</x:v>
      </x:c>
      <x:c r="E17" s="2" t="n">
        <x:v>616</x:v>
      </x:c>
      <x:c r="F17" s="2" t="n">
        <x:v>765</x:v>
      </x:c>
      <x:c r="G17" s="2" t="n">
        <x:v>149</x:v>
      </x:c>
      <x:c r="H17" s="2" t="n">
        <x:v>404</x:v>
      </x:c>
      <x:c r="I17" s="2" t="n">
        <x:v>1011</x:v>
      </x:c>
      <x:c r="J17" s="2" t="str">
        <x:v>God</x:v>
      </x:c>
      <x:c r="K17" s="23" t="str">
        <x:v>Median baseret på Cabinn, Wakeup og Aarhus Hostel og Hotel</x:v>
      </x:c>
    </x:row>
    <x:row r="18" ht="15" hidden="0" customHeight="1">
      <x:c r="A18" s="33" t="n">
        <x:v>46315</x:v>
      </x:c>
      <x:c r="B18" s="2" t="n">
        <x:v>764</x:v>
      </x:c>
      <x:c r="C18" s="2"/>
      <x:c r="D18" s="2" t="n">
        <x:v>3</x:v>
      </x:c>
      <x:c r="E18" s="2" t="n">
        <x:v>616</x:v>
      </x:c>
      <x:c r="F18" s="2" t="n">
        <x:v>954</x:v>
      </x:c>
      <x:c r="G18" s="2" t="n">
        <x:v>338</x:v>
      </x:c>
      <x:c r="H18" s="2" t="n">
        <x:v>507</x:v>
      </x:c>
      <x:c r="I18" s="2" t="n">
        <x:v>1158</x:v>
      </x:c>
      <x:c r="J18" s="2" t="str">
        <x:v>God</x:v>
      </x:c>
      <x:c r="K18" s="23" t="str">
        <x:v>Median baseret på Cabinn, Wakeup og Aarhus Hostel og Hotel</x:v>
      </x:c>
    </x:row>
    <x:row r="19" ht="15" hidden="0" customHeight="1">
      <x:c r="A19" s="33" t="n">
        <x:v>46316</x:v>
      </x:c>
      <x:c r="B19" s="2" t="n">
        <x:v>644</x:v>
      </x:c>
      <x:c r="C19" s="2"/>
      <x:c r="D19" s="2" t="n">
        <x:v>3</x:v>
      </x:c>
      <x:c r="E19" s="2" t="n">
        <x:v>616</x:v>
      </x:c>
      <x:c r="F19" s="2" t="n">
        <x:v>953</x:v>
      </x:c>
      <x:c r="G19" s="2" t="n">
        <x:v>337</x:v>
      </x:c>
      <x:c r="H19" s="2" t="n">
        <x:v>527</x:v>
      </x:c>
      <x:c r="I19" s="2" t="n">
        <x:v>1383</x:v>
      </x:c>
      <x:c r="J19" s="2" t="str">
        <x:v>God</x:v>
      </x:c>
      <x:c r="K19" s="23" t="str">
        <x:v>Median baseret på Cabinn, Wakeup og Aarhus Hostel og Hotel</x:v>
      </x:c>
    </x:row>
    <x:row r="20" ht="15" hidden="0" customHeight="1">
      <x:c r="A20" s="33" t="n">
        <x:v>46317</x:v>
      </x:c>
      <x:c r="B20" s="2" t="n">
        <x:v>644</x:v>
      </x:c>
      <x:c r="C20" s="2"/>
      <x:c r="D20" s="2" t="n">
        <x:v>3</x:v>
      </x:c>
      <x:c r="E20" s="2" t="n">
        <x:v>616</x:v>
      </x:c>
      <x:c r="F20" s="2" t="n">
        <x:v>857</x:v>
      </x:c>
      <x:c r="G20" s="2" t="n">
        <x:v>241</x:v>
      </x:c>
      <x:c r="H20" s="2" t="n">
        <x:v>502</x:v>
      </x:c>
      <x:c r="I20" s="2" t="n">
        <x:v>1618</x:v>
      </x:c>
      <x:c r="J20" s="2" t="str">
        <x:v>God</x:v>
      </x:c>
      <x:c r="K20" s="23" t="str">
        <x:v>Median baseret på Cabinn, Wakeup og Aarhus Hostel og Hotel</x:v>
      </x:c>
    </x:row>
    <x:row r="21" ht="15" hidden="0" customHeight="1">
      <x:c r="A21" s="33" t="n">
        <x:v>46318</x:v>
      </x:c>
      <x:c r="B21" s="2" t="n">
        <x:v>644</x:v>
      </x:c>
      <x:c r="C21" s="2"/>
      <x:c r="D21" s="2" t="n">
        <x:v>3</x:v>
      </x:c>
      <x:c r="E21" s="2" t="n">
        <x:v>616</x:v>
      </x:c>
      <x:c r="F21" s="2" t="n">
        <x:v>807</x:v>
      </x:c>
      <x:c r="G21" s="2" t="n">
        <x:v>191</x:v>
      </x:c>
      <x:c r="H21" s="2" t="n">
        <x:v>502</x:v>
      </x:c>
      <x:c r="I21" s="2" t="n">
        <x:v>1611</x:v>
      </x:c>
      <x:c r="J21" s="2" t="str">
        <x:v>God</x:v>
      </x:c>
      <x:c r="K21" s="23" t="str">
        <x:v>Median baseret på Cabinn, Wakeup og Aarhus Hostel og Hotel</x:v>
      </x:c>
    </x:row>
    <x:row r="22" ht="15" hidden="0" customHeight="1">
      <x:c r="A22" s="33" t="n">
        <x:v>46319</x:v>
      </x:c>
      <x:c r="B22" s="2" t="n">
        <x:v>644</x:v>
      </x:c>
      <x:c r="C22" s="2"/>
      <x:c r="D22" s="2" t="n">
        <x:v>3</x:v>
      </x:c>
      <x:c r="E22" s="2" t="n">
        <x:v>616</x:v>
      </x:c>
      <x:c r="F22" s="2" t="n">
        <x:v>808</x:v>
      </x:c>
      <x:c r="G22" s="2" t="n">
        <x:v>192</x:v>
      </x:c>
      <x:c r="H22" s="2" t="n">
        <x:v>600</x:v>
      </x:c>
      <x:c r="I22" s="2" t="n">
        <x:v>1306</x:v>
      </x:c>
      <x:c r="J22" s="2" t="str">
        <x:v>God</x:v>
      </x:c>
      <x:c r="K22" s="23" t="str">
        <x:v>Median baseret på Cabinn, Wakeup og Aarhus Hostel og Hotel</x:v>
      </x:c>
    </x:row>
    <x:row r="23" ht="15" hidden="0" customHeight="1">
      <x:c r="A23" s="33" t="n">
        <x:v>46320</x:v>
      </x:c>
      <x:c r="B23" s="2" t="n">
        <x:v>644</x:v>
      </x:c>
      <x:c r="C23" s="2"/>
      <x:c r="D23" s="2" t="n">
        <x:v>3</x:v>
      </x:c>
      <x:c r="E23" s="2" t="n">
        <x:v>616</x:v>
      </x:c>
      <x:c r="F23" s="2" t="n">
        <x:v>680</x:v>
      </x:c>
      <x:c r="G23" s="2" t="n">
        <x:v>64</x:v>
      </x:c>
      <x:c r="H23" s="2" t="n">
        <x:v>365</x:v>
      </x:c>
      <x:c r="I23" s="2" t="n">
        <x:v>955</x:v>
      </x:c>
      <x:c r="J23" s="2" t="str">
        <x:v>God</x:v>
      </x:c>
      <x:c r="K23" s="23" t="str">
        <x:v>Median baseret på Cabinn, Wakeup og Aarhus Hostel og Hotel</x:v>
      </x:c>
    </x:row>
    <x:row r="24" ht="15" hidden="0" customHeight="1">
      <x:c r="A24" s="33" t="n">
        <x:v>46321</x:v>
      </x:c>
      <x:c r="B24" s="2" t="n">
        <x:v>644</x:v>
      </x:c>
      <x:c r="C24" s="2"/>
      <x:c r="D24" s="2" t="n">
        <x:v>3</x:v>
      </x:c>
      <x:c r="E24" s="2" t="n">
        <x:v>616</x:v>
      </x:c>
      <x:c r="F24" s="2" t="n">
        <x:v>759</x:v>
      </x:c>
      <x:c r="G24" s="2" t="n">
        <x:v>143</x:v>
      </x:c>
      <x:c r="H24" s="2" t="n">
        <x:v>331</x:v>
      </x:c>
      <x:c r="I24" s="2" t="n">
        <x:v>1199</x:v>
      </x:c>
      <x:c r="J24" s="2" t="str">
        <x:v>God</x:v>
      </x:c>
      <x:c r="K24" s="23" t="str">
        <x:v>Median baseret på Cabinn, Wakeup og Aarhus Hostel og Hotel</x:v>
      </x:c>
    </x:row>
    <x:row r="25" ht="15" hidden="0" customHeight="1">
      <x:c r="A25" s="33" t="n">
        <x:v>46322</x:v>
      </x:c>
      <x:c r="B25" s="2" t="n">
        <x:v>644</x:v>
      </x:c>
      <x:c r="C25" s="2"/>
      <x:c r="D25" s="2" t="n">
        <x:v>3</x:v>
      </x:c>
      <x:c r="E25" s="2" t="n">
        <x:v>616</x:v>
      </x:c>
      <x:c r="F25" s="2" t="n">
        <x:v>953</x:v>
      </x:c>
      <x:c r="G25" s="2" t="n">
        <x:v>337</x:v>
      </x:c>
      <x:c r="H25" s="2" t="n">
        <x:v>378</x:v>
      </x:c>
      <x:c r="I25" s="2" t="n">
        <x:v>1467</x:v>
      </x:c>
      <x:c r="J25" s="2" t="str">
        <x:v>God</x:v>
      </x:c>
      <x:c r="K25" s="23" t="str">
        <x:v>Median baseret på Cabinn, Wakeup og Aarhus Hostel og Hotel</x:v>
      </x:c>
    </x:row>
    <x:row r="26" ht="15" hidden="0" customHeight="1">
      <x:c r="A26" s="33" t="n">
        <x:v>46323</x:v>
      </x:c>
      <x:c r="B26" s="2" t="n">
        <x:v>644</x:v>
      </x:c>
      <x:c r="C26" s="2"/>
      <x:c r="D26" s="2" t="n">
        <x:v>3</x:v>
      </x:c>
      <x:c r="E26" s="2" t="n">
        <x:v>616</x:v>
      </x:c>
      <x:c r="F26" s="2" t="n">
        <x:v>954</x:v>
      </x:c>
      <x:c r="G26" s="2" t="n">
        <x:v>338</x:v>
      </x:c>
      <x:c r="H26" s="2" t="n">
        <x:v>362</x:v>
      </x:c>
      <x:c r="I26" s="2" t="n">
        <x:v>1350</x:v>
      </x:c>
      <x:c r="J26" s="2" t="str">
        <x:v>God</x:v>
      </x:c>
      <x:c r="K26" s="23" t="str">
        <x:v>Median baseret på Cabinn, Wakeup og Aarhus Hostel og Hotel</x:v>
      </x:c>
    </x:row>
    <x:row r="27" ht="15" hidden="0" customHeight="1">
      <x:c r="A27" s="33" t="n">
        <x:v>46324</x:v>
      </x:c>
      <x:c r="B27" s="2" t="n">
        <x:v>644</x:v>
      </x:c>
      <x:c r="C27" s="2"/>
      <x:c r="D27" s="2" t="n">
        <x:v>3</x:v>
      </x:c>
      <x:c r="E27" s="2" t="n">
        <x:v>616</x:v>
      </x:c>
      <x:c r="F27" s="2" t="n">
        <x:v>847</x:v>
      </x:c>
      <x:c r="G27" s="2" t="n">
        <x:v>231</x:v>
      </x:c>
      <x:c r="H27" s="2" t="n">
        <x:v>371</x:v>
      </x:c>
      <x:c r="I27" s="2" t="n">
        <x:v>1119</x:v>
      </x:c>
      <x:c r="J27" s="2" t="str">
        <x:v>God</x:v>
      </x:c>
      <x:c r="K27" s="23" t="str">
        <x:v>Median baseret på Cabinn, Wakeup og Aarhus Hostel og Hotel</x:v>
      </x:c>
    </x:row>
    <x:row r="28" ht="15" hidden="0" customHeight="1">
      <x:c r="A28" s="33" t="n">
        <x:v>46325</x:v>
      </x:c>
      <x:c r="B28" s="2" t="n">
        <x:v>644</x:v>
      </x:c>
      <x:c r="C28" s="2"/>
      <x:c r="D28" s="2" t="n">
        <x:v>3</x:v>
      </x:c>
      <x:c r="E28" s="2" t="n">
        <x:v>616</x:v>
      </x:c>
      <x:c r="F28" s="2" t="n">
        <x:v>797</x:v>
      </x:c>
      <x:c r="G28" s="2" t="n">
        <x:v>181</x:v>
      </x:c>
      <x:c r="H28" s="2" t="n">
        <x:v>423</x:v>
      </x:c>
      <x:c r="I28" s="2" t="n">
        <x:v>1189</x:v>
      </x:c>
      <x:c r="J28" s="2" t="str">
        <x:v>God</x:v>
      </x:c>
      <x:c r="K28" s="23" t="str">
        <x:v>Median baseret på Cabinn, Wakeup og Aarhus Hostel og Hotel</x:v>
      </x:c>
    </x:row>
    <x:row r="29" ht="15" hidden="0" customHeight="1">
      <x:c r="A29" s="33" t="n">
        <x:v>46326</x:v>
      </x:c>
      <x:c r="B29" s="2" t="n">
        <x:v>644</x:v>
      </x:c>
      <x:c r="C29" s="2"/>
      <x:c r="D29" s="2" t="n">
        <x:v>3</x:v>
      </x:c>
      <x:c r="E29" s="2" t="n">
        <x:v>616</x:v>
      </x:c>
      <x:c r="F29" s="2" t="n">
        <x:v>807</x:v>
      </x:c>
      <x:c r="G29" s="2" t="n">
        <x:v>191</x:v>
      </x:c>
      <x:c r="H29" s="2" t="n">
        <x:v>495</x:v>
      </x:c>
      <x:c r="I29" s="2" t="n">
        <x:v>1267</x:v>
      </x:c>
      <x:c r="J29" s="2" t="str">
        <x:v>God</x:v>
      </x:c>
      <x:c r="K29" s="23" t="str">
        <x:v>Median baseret på Cabinn, Wakeup og Aarhus Hostel og Hotel</x:v>
      </x:c>
    </x:row>
    <x:row r="30" ht="15" hidden="0" customHeight="1">
      <x:c r="A30" s="33" t="n">
        <x:v>46327</x:v>
      </x:c>
      <x:c r="B30" s="2" t="n">
        <x:v>644</x:v>
      </x:c>
      <x:c r="C30" s="2"/>
      <x:c r="D30" s="2" t="n">
        <x:v>3</x:v>
      </x:c>
      <x:c r="E30" s="2" t="n">
        <x:v>616</x:v>
      </x:c>
      <x:c r="F30" s="2" t="n">
        <x:v>662</x:v>
      </x:c>
      <x:c r="G30" s="2" t="n">
        <x:v>46</x:v>
      </x:c>
      <x:c r="H30" s="2" t="n">
        <x:v>364</x:v>
      </x:c>
      <x:c r="I30" s="2" t="n">
        <x:v>902</x:v>
      </x:c>
      <x:c r="J30" s="2" t="str">
        <x:v>God</x:v>
      </x:c>
      <x:c r="K30" s="23" t="str">
        <x:v>Median baseret på Cabinn, Wakeup og Aarhus Hostel og Hotel</x:v>
      </x:c>
    </x:row>
    <x:row r="31" ht="15" hidden="0" customHeight="1">
      <x:c r="A31" s="33" t="n">
        <x:v>46328</x:v>
      </x:c>
      <x:c r="B31" s="2" t="n">
        <x:v>644</x:v>
      </x:c>
      <x:c r="C31" s="2"/>
      <x:c r="D31" s="2" t="n">
        <x:v>3</x:v>
      </x:c>
      <x:c r="E31" s="2" t="n">
        <x:v>616</x:v>
      </x:c>
      <x:c r="F31" s="2" t="n">
        <x:v>662</x:v>
      </x:c>
      <x:c r="G31" s="2" t="n">
        <x:v>46</x:v>
      </x:c>
      <x:c r="H31" s="2" t="n">
        <x:v>328</x:v>
      </x:c>
      <x:c r="I31" s="2" t="n">
        <x:v>1086</x:v>
      </x:c>
      <x:c r="J31" s="2" t="str">
        <x:v>God</x:v>
      </x:c>
      <x:c r="K31" s="23" t="str">
        <x:v>Median baseret på Cabinn, Wakeup og Aarhus Hostel og Hotel</x:v>
      </x:c>
    </x:row>
    <x:row r="32" ht="15" hidden="0" customHeight="1">
      <x:c r="A32" s="33" t="n">
        <x:v>46329</x:v>
      </x:c>
      <x:c r="B32" s="2" t="n">
        <x:v>644</x:v>
      </x:c>
      <x:c r="C32" s="2"/>
      <x:c r="D32" s="2" t="n">
        <x:v>3</x:v>
      </x:c>
      <x:c r="E32" s="2" t="n">
        <x:v>616</x:v>
      </x:c>
      <x:c r="F32" s="2" t="n">
        <x:v>759</x:v>
      </x:c>
      <x:c r="G32" s="2" t="n">
        <x:v>143</x:v>
      </x:c>
      <x:c r="H32" s="2" t="n">
        <x:v>363</x:v>
      </x:c>
      <x:c r="I32" s="2" t="n">
        <x:v>1455</x:v>
      </x:c>
      <x:c r="J32" s="2" t="str">
        <x:v>God</x:v>
      </x:c>
      <x:c r="K32" s="23" t="str">
        <x:v>Median baseret på Cabinn, Wakeup og Aarhus Hostel og Hotel</x:v>
      </x:c>
    </x:row>
    <x:row r="33" ht="15" hidden="0" customHeight="1">
      <x:c r="A33" s="33" t="n">
        <x:v>46330</x:v>
      </x:c>
      <x:c r="B33" s="2" t="n">
        <x:v>644</x:v>
      </x:c>
      <x:c r="C33" s="2"/>
      <x:c r="D33" s="2" t="n">
        <x:v>3</x:v>
      </x:c>
      <x:c r="E33" s="2" t="n">
        <x:v>616</x:v>
      </x:c>
      <x:c r="F33" s="2" t="n">
        <x:v>759</x:v>
      </x:c>
      <x:c r="G33" s="2" t="n">
        <x:v>143</x:v>
      </x:c>
      <x:c r="H33" s="2" t="n">
        <x:v>353</x:v>
      </x:c>
      <x:c r="I33" s="2" t="n">
        <x:v>1620</x:v>
      </x:c>
      <x:c r="J33" s="2" t="str">
        <x:v>God</x:v>
      </x:c>
      <x:c r="K33" s="23" t="str">
        <x:v>Median baseret på Cabinn, Wakeup og Aarhus Hostel og Hotel</x:v>
      </x:c>
    </x:row>
    <x:row r="34" ht="15" hidden="0" customHeight="1">
      <x:c r="A34" s="33" t="n">
        <x:v>46331</x:v>
      </x:c>
      <x:c r="B34" s="2" t="n">
        <x:v>644</x:v>
      </x:c>
      <x:c r="C34" s="2"/>
      <x:c r="D34" s="2" t="n">
        <x:v>3</x:v>
      </x:c>
      <x:c r="E34" s="2" t="n">
        <x:v>616</x:v>
      </x:c>
      <x:c r="F34" s="2" t="n">
        <x:v>662</x:v>
      </x:c>
      <x:c r="G34" s="2" t="n">
        <x:v>46</x:v>
      </x:c>
      <x:c r="H34" s="2" t="n">
        <x:v>366</x:v>
      </x:c>
      <x:c r="I34" s="2" t="n">
        <x:v>1242</x:v>
      </x:c>
      <x:c r="J34" s="2" t="str">
        <x:v>God</x:v>
      </x:c>
      <x:c r="K34" s="23" t="str">
        <x:v>Median baseret på Cabinn, Wakeup og Aarhus Hostel og Hotel</x:v>
      </x:c>
    </x:row>
    <x:row r="35" ht="15" hidden="0" customHeight="1">
      <x:c r="A35" s="34" t="n">
        <x:v>46332</x:v>
      </x:c>
      <x:c r="B35" s="25" t="n">
        <x:v>752</x:v>
      </x:c>
      <x:c r="C35" s="25"/>
      <x:c r="D35" s="25" t="n">
        <x:v>2</x:v>
      </x:c>
      <x:c r="E35" s="25" t="n">
        <x:v>662</x:v>
      </x:c>
      <x:c r="F35" s="25" t="n">
        <x:v>842</x:v>
      </x:c>
      <x:c r="G35" s="25" t="n">
        <x:v>180</x:v>
      </x:c>
      <x:c r="H35" s="25" t="n">
        <x:v>480</x:v>
      </x:c>
      <x:c r="I35" s="25" t="n">
        <x:v>1208</x:v>
      </x:c>
      <x:c r="J35" s="25" t="str">
        <x:v>Brugbar</x:v>
      </x:c>
      <x:c r="K35" s="26" t="str">
        <x:v>Median baseret på Cabinn, Wakeup og Aarhus Hostel og Hotel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AAB7C4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3.7799999713897705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4" hidden="0" customWidth="1"/>
    <x:col min="14" max="14" width="58" hidden="0" customWidth="1"/>
    <x:col min="15" max="15" width="34" hidden="0" customWidth="1"/>
  </x:cols>
  <x:sheetData>
    <x:row r="1" ht="15" hidden="0" customHeight="1">
      <x:c r="A1" s="30" t="str">
        <x:v>Dato</x:v>
      </x:c>
      <x:c r="B1" s="36" t="str">
        <x:v>Dag</x:v>
      </x:c>
      <x:c r="C1" s="37" t="str">
        <x:v>Cabinn Aarhus</x:v>
      </x:c>
      <x:c r="D1" s="37" t="str">
        <x:v>Wakeup Aarhus</x:v>
      </x:c>
      <x:c r="E1" s="37" t="str">
        <x:v>Roberta's Society</x:v>
      </x:c>
      <x:c r="F1" s="37" t="str">
        <x:v>Aarhus Hostel og Hotel</x:v>
      </x:c>
      <x:c r="G1" s="37" t="str">
        <x:v>Milling Hotel Ritz</x:v>
      </x:c>
      <x:c r="H1" s="37" t="str">
        <x:v>Antal budgetpriser</x:v>
      </x:c>
      <x:c r="I1" s="37" t="str">
        <x:v>Median budget</x:v>
      </x:c>
      <x:c r="J1" s="37" t="str">
        <x:v>Laveste budget</x:v>
      </x:c>
      <x:c r="K1" s="37" t="str">
        <x:v>Højeste budget</x:v>
      </x:c>
      <x:c r="L1" s="37" t="str">
        <x:v>Spredning</x:v>
      </x:c>
      <x:c r="M1" s="28" t="str">
        <x:v>Datakvalitet</x:v>
      </x:c>
      <x:c r="N1" s="28" t="str">
        <x:v>Note</x:v>
      </x:c>
      <x:c r="O1" s="29" t="str">
        <x:v>Kilde</x:v>
      </x:c>
    </x:row>
    <x:row r="2" ht="15" hidden="0" customHeight="1">
      <x:c r="A2" s="33" t="n">
        <x:v>46298</x:v>
      </x:c>
      <x:c r="B2" s="2" t="str">
        <x:v>lør.</x:v>
      </x:c>
      <x:c r="C2" s="2"/>
      <x:c r="D2" s="2"/>
      <x:c r="E2" s="2" t="n">
        <x:v>915</x:v>
      </x:c>
      <x:c r="F2" s="2"/>
      <x:c r="G2" s="2"/>
      <x:c r="H2" s="2" t="n">
        <x:v>0</x:v>
      </x:c>
      <x:c r="I2" s="2"/>
      <x:c r="J2" s="2"/>
      <x:c r="K2" s="2"/>
      <x:c r="L2" s="2"/>
      <x:c r="M2" s="2" t="str">
        <x:v>For lidt data</x:v>
      </x:c>
      <x:c r="N2" s="2" t="str">
        <x:v>Spring over: færre end to sammenlignelige budgetpriser</x:v>
      </x:c>
      <x:c r="O2" s="23" t="str">
        <x:v>konkurrentpriser_kilder_2026-10-03.csv</x:v>
      </x:c>
    </x:row>
    <x:row r="3" ht="15" hidden="0" customHeight="1">
      <x:c r="A3" s="33" t="n">
        <x:v>46299</x:v>
      </x:c>
      <x:c r="B3" s="2" t="str">
        <x:v>søn.</x:v>
      </x:c>
      <x:c r="C3" s="2" t="n">
        <x:v>644</x:v>
      </x:c>
      <x:c r="D3" s="2" t="n">
        <x:v>700</x:v>
      </x:c>
      <x:c r="E3" s="2" t="n">
        <x:v>387</x:v>
      </x:c>
      <x:c r="F3" s="2" t="n">
        <x:v>616</x:v>
      </x:c>
      <x:c r="G3" s="2" t="n">
        <x:v>976</x:v>
      </x:c>
      <x:c r="H3" s="2" t="n">
        <x:v>3</x:v>
      </x:c>
      <x:c r="I3" s="2" t="n">
        <x:v>644</x:v>
      </x:c>
      <x:c r="J3" s="2" t="n">
        <x:v>616</x:v>
      </x:c>
      <x:c r="K3" s="2" t="n">
        <x:v>700</x:v>
      </x:c>
      <x:c r="L3" s="2" t="n">
        <x:v>84</x:v>
      </x:c>
      <x:c r="M3" s="2" t="str">
        <x:v>God</x:v>
      </x:c>
      <x:c r="N3" s="2" t="str">
        <x:v>Median baseret på Cabinn, Wakeup og Aarhus Hostel og Hotel</x:v>
      </x:c>
      <x:c r="O3" s="23" t="str">
        <x:v>konkurrentpriser_kilder_2026-10-03.csv</x:v>
      </x:c>
    </x:row>
    <x:row r="4" ht="15" hidden="0" customHeight="1">
      <x:c r="A4" s="33" t="n">
        <x:v>46300</x:v>
      </x:c>
      <x:c r="B4" s="2" t="str">
        <x:v>man.</x:v>
      </x:c>
      <x:c r="C4" s="2" t="n">
        <x:v>783</x:v>
      </x:c>
      <x:c r="D4" s="2" t="n">
        <x:v>777</x:v>
      </x:c>
      <x:c r="E4" s="2" t="n">
        <x:v>359</x:v>
      </x:c>
      <x:c r="F4" s="2" t="n">
        <x:v>616</x:v>
      </x:c>
      <x:c r="G4" s="2" t="n">
        <x:v>1512</x:v>
      </x:c>
      <x:c r="H4" s="2" t="n">
        <x:v>3</x:v>
      </x:c>
      <x:c r="I4" s="2" t="n">
        <x:v>777</x:v>
      </x:c>
      <x:c r="J4" s="2" t="n">
        <x:v>616</x:v>
      </x:c>
      <x:c r="K4" s="2" t="n">
        <x:v>783</x:v>
      </x:c>
      <x:c r="L4" s="2" t="n">
        <x:v>167</x:v>
      </x:c>
      <x:c r="M4" s="2" t="str">
        <x:v>God</x:v>
      </x:c>
      <x:c r="N4" s="2" t="str">
        <x:v>Median baseret på Cabinn, Wakeup og Aarhus Hostel og Hotel</x:v>
      </x:c>
      <x:c r="O4" s="23" t="str">
        <x:v>konkurrentpriser_kilder_2026-10-03.csv</x:v>
      </x:c>
    </x:row>
    <x:row r="5" ht="15" hidden="0" customHeight="1">
      <x:c r="A5" s="33" t="n">
        <x:v>46301</x:v>
      </x:c>
      <x:c r="B5" s="2" t="str">
        <x:v>tirs.</x:v>
      </x:c>
      <x:c r="C5" s="2" t="n">
        <x:v>766</x:v>
      </x:c>
      <x:c r="D5" s="2" t="n">
        <x:v>967</x:v>
      </x:c>
      <x:c r="E5" s="2" t="n">
        <x:v>437</x:v>
      </x:c>
      <x:c r="F5" s="2" t="n">
        <x:v>616</x:v>
      </x:c>
      <x:c r="G5" s="2" t="n">
        <x:v>2139</x:v>
      </x:c>
      <x:c r="H5" s="2" t="n">
        <x:v>3</x:v>
      </x:c>
      <x:c r="I5" s="2" t="n">
        <x:v>766</x:v>
      </x:c>
      <x:c r="J5" s="2" t="n">
        <x:v>616</x:v>
      </x:c>
      <x:c r="K5" s="2" t="n">
        <x:v>967</x:v>
      </x:c>
      <x:c r="L5" s="2" t="n">
        <x:v>351</x:v>
      </x:c>
      <x:c r="M5" s="2" t="str">
        <x:v>God</x:v>
      </x:c>
      <x:c r="N5" s="2" t="str">
        <x:v>Median baseret på Cabinn, Wakeup og Aarhus Hostel og Hotel</x:v>
      </x:c>
      <x:c r="O5" s="23" t="str">
        <x:v>konkurrentpriser_kilder_2026-10-03.csv</x:v>
      </x:c>
    </x:row>
    <x:row r="6" ht="15" hidden="0" customHeight="1">
      <x:c r="A6" s="33" t="n">
        <x:v>46302</x:v>
      </x:c>
      <x:c r="B6" s="2" t="str">
        <x:v>ons.</x:v>
      </x:c>
      <x:c r="C6" s="2" t="n">
        <x:v>783</x:v>
      </x:c>
      <x:c r="D6" s="2" t="n">
        <x:v>961</x:v>
      </x:c>
      <x:c r="E6" s="2" t="n">
        <x:v>364</x:v>
      </x:c>
      <x:c r="F6" s="2" t="n">
        <x:v>599</x:v>
      </x:c>
      <x:c r="G6" s="2" t="n">
        <x:v>1862</x:v>
      </x:c>
      <x:c r="H6" s="2" t="n">
        <x:v>3</x:v>
      </x:c>
      <x:c r="I6" s="2" t="n">
        <x:v>783</x:v>
      </x:c>
      <x:c r="J6" s="2" t="n">
        <x:v>599</x:v>
      </x:c>
      <x:c r="K6" s="2" t="n">
        <x:v>961</x:v>
      </x:c>
      <x:c r="L6" s="2" t="n">
        <x:v>362</x:v>
      </x:c>
      <x:c r="M6" s="2" t="str">
        <x:v>God</x:v>
      </x:c>
      <x:c r="N6" s="2" t="str">
        <x:v>Median baseret på Cabinn, Wakeup og Aarhus Hostel og Hotel</x:v>
      </x:c>
      <x:c r="O6" s="23" t="str">
        <x:v>konkurrentpriser_kilder_2026-10-03.csv</x:v>
      </x:c>
    </x:row>
    <x:row r="7" ht="15" hidden="0" customHeight="1">
      <x:c r="A7" s="33" t="n">
        <x:v>46303</x:v>
      </x:c>
      <x:c r="B7" s="2" t="str">
        <x:v>tors.</x:v>
      </x:c>
      <x:c r="C7" s="2" t="n">
        <x:v>766</x:v>
      </x:c>
      <x:c r="D7" s="2" t="n">
        <x:v>900</x:v>
      </x:c>
      <x:c r="E7" s="2" t="n">
        <x:v>349</x:v>
      </x:c>
      <x:c r="F7" s="2" t="n">
        <x:v>616</x:v>
      </x:c>
      <x:c r="G7" s="2" t="n">
        <x:v>1280</x:v>
      </x:c>
      <x:c r="H7" s="2" t="n">
        <x:v>3</x:v>
      </x:c>
      <x:c r="I7" s="2" t="n">
        <x:v>766</x:v>
      </x:c>
      <x:c r="J7" s="2" t="n">
        <x:v>616</x:v>
      </x:c>
      <x:c r="K7" s="2" t="n">
        <x:v>900</x:v>
      </x:c>
      <x:c r="L7" s="2" t="n">
        <x:v>284</x:v>
      </x:c>
      <x:c r="M7" s="2" t="str">
        <x:v>God</x:v>
      </x:c>
      <x:c r="N7" s="2" t="str">
        <x:v>Median baseret på Cabinn, Wakeup og Aarhus Hostel og Hotel</x:v>
      </x:c>
      <x:c r="O7" s="23" t="str">
        <x:v>konkurrentpriser_kilder_2026-10-03.csv</x:v>
      </x:c>
    </x:row>
    <x:row r="8" ht="15" hidden="0" customHeight="1">
      <x:c r="A8" s="33" t="n">
        <x:v>46304</x:v>
      </x:c>
      <x:c r="B8" s="2" t="str">
        <x:v>fre.</x:v>
      </x:c>
      <x:c r="C8" s="2" t="n">
        <x:v>800</x:v>
      </x:c>
      <x:c r="D8" s="2" t="n">
        <x:v>800</x:v>
      </x:c>
      <x:c r="E8" s="2" t="n">
        <x:v>501</x:v>
      </x:c>
      <x:c r="F8" s="2" t="n">
        <x:v>616</x:v>
      </x:c>
      <x:c r="G8" s="2" t="n">
        <x:v>1232</x:v>
      </x:c>
      <x:c r="H8" s="2" t="n">
        <x:v>3</x:v>
      </x:c>
      <x:c r="I8" s="2" t="n">
        <x:v>800</x:v>
      </x:c>
      <x:c r="J8" s="2" t="n">
        <x:v>616</x:v>
      </x:c>
      <x:c r="K8" s="2" t="n">
        <x:v>800</x:v>
      </x:c>
      <x:c r="L8" s="2" t="n">
        <x:v>184</x:v>
      </x:c>
      <x:c r="M8" s="2" t="str">
        <x:v>God</x:v>
      </x:c>
      <x:c r="N8" s="2" t="str">
        <x:v>Median baseret på Cabinn, Wakeup og Aarhus Hostel og Hotel</x:v>
      </x:c>
      <x:c r="O8" s="23" t="str">
        <x:v>konkurrentpriser_kilder_2026-10-03.csv</x:v>
      </x:c>
    </x:row>
    <x:row r="9" ht="15" hidden="0" customHeight="1">
      <x:c r="A9" s="33" t="n">
        <x:v>46305</x:v>
      </x:c>
      <x:c r="B9" s="2" t="str">
        <x:v>lør.</x:v>
      </x:c>
      <x:c r="C9" s="2" t="n">
        <x:v>800</x:v>
      </x:c>
      <x:c r="D9" s="2" t="n">
        <x:v>845</x:v>
      </x:c>
      <x:c r="E9" s="2" t="n">
        <x:v>728</x:v>
      </x:c>
      <x:c r="F9" s="2" t="n">
        <x:v>616</x:v>
      </x:c>
      <x:c r="G9" s="2" t="n">
        <x:v>1654</x:v>
      </x:c>
      <x:c r="H9" s="2" t="n">
        <x:v>3</x:v>
      </x:c>
      <x:c r="I9" s="2" t="n">
        <x:v>800</x:v>
      </x:c>
      <x:c r="J9" s="2" t="n">
        <x:v>616</x:v>
      </x:c>
      <x:c r="K9" s="2" t="n">
        <x:v>845</x:v>
      </x:c>
      <x:c r="L9" s="2" t="n">
        <x:v>229</x:v>
      </x:c>
      <x:c r="M9" s="2" t="str">
        <x:v>God</x:v>
      </x:c>
      <x:c r="N9" s="2" t="str">
        <x:v>Median baseret på Cabinn, Wakeup og Aarhus Hostel og Hotel</x:v>
      </x:c>
      <x:c r="O9" s="23" t="str">
        <x:v>konkurrentpriser_kilder_2026-10-03.csv</x:v>
      </x:c>
    </x:row>
    <x:row r="10" ht="15" hidden="0" customHeight="1">
      <x:c r="A10" s="33" t="n">
        <x:v>46306</x:v>
      </x:c>
      <x:c r="B10" s="2" t="str">
        <x:v>søn.</x:v>
      </x:c>
      <x:c r="C10" s="2" t="n">
        <x:v>644</x:v>
      </x:c>
      <x:c r="D10" s="2" t="n">
        <x:v>680</x:v>
      </x:c>
      <x:c r="E10" s="2" t="n">
        <x:v>343</x:v>
      </x:c>
      <x:c r="F10" s="2" t="n">
        <x:v>616</x:v>
      </x:c>
      <x:c r="G10" s="2" t="n">
        <x:v>1037</x:v>
      </x:c>
      <x:c r="H10" s="2" t="n">
        <x:v>3</x:v>
      </x:c>
      <x:c r="I10" s="2" t="n">
        <x:v>644</x:v>
      </x:c>
      <x:c r="J10" s="2" t="n">
        <x:v>616</x:v>
      </x:c>
      <x:c r="K10" s="2" t="n">
        <x:v>680</x:v>
      </x:c>
      <x:c r="L10" s="2" t="n">
        <x:v>64</x:v>
      </x:c>
      <x:c r="M10" s="2" t="str">
        <x:v>God</x:v>
      </x:c>
      <x:c r="N10" s="2" t="str">
        <x:v>Median baseret på Cabinn, Wakeup og Aarhus Hostel og Hotel</x:v>
      </x:c>
      <x:c r="O10" s="23" t="str">
        <x:v>konkurrentpriser_kilder_2026-10-03.csv</x:v>
      </x:c>
    </x:row>
    <x:row r="11" ht="15" hidden="0" customHeight="1">
      <x:c r="A11" s="33" t="n">
        <x:v>46307</x:v>
      </x:c>
      <x:c r="B11" s="2" t="str">
        <x:v>man.</x:v>
      </x:c>
      <x:c r="C11" s="2" t="n">
        <x:v>667</x:v>
      </x:c>
      <x:c r="D11" s="2" t="n">
        <x:v>660</x:v>
      </x:c>
      <x:c r="E11" s="2" t="n">
        <x:v>555</x:v>
      </x:c>
      <x:c r="F11" s="2" t="n">
        <x:v>616</x:v>
      </x:c>
      <x:c r="G11" s="2" t="n">
        <x:v>1290</x:v>
      </x:c>
      <x:c r="H11" s="2" t="n">
        <x:v>3</x:v>
      </x:c>
      <x:c r="I11" s="2" t="n">
        <x:v>660</x:v>
      </x:c>
      <x:c r="J11" s="2" t="n">
        <x:v>616</x:v>
      </x:c>
      <x:c r="K11" s="2" t="n">
        <x:v>667</x:v>
      </x:c>
      <x:c r="L11" s="2" t="n">
        <x:v>51</x:v>
      </x:c>
      <x:c r="M11" s="2" t="str">
        <x:v>God</x:v>
      </x:c>
      <x:c r="N11" s="2" t="str">
        <x:v>Median baseret på Cabinn, Wakeup og Aarhus Hostel og Hotel</x:v>
      </x:c>
      <x:c r="O11" s="23" t="str">
        <x:v>konkurrentpriser_kilder_2026-10-03.csv</x:v>
      </x:c>
    </x:row>
    <x:row r="12" ht="15" hidden="0" customHeight="1">
      <x:c r="A12" s="33" t="n">
        <x:v>46308</x:v>
      </x:c>
      <x:c r="B12" s="2" t="str">
        <x:v>tirs.</x:v>
      </x:c>
      <x:c r="C12" s="2" t="n">
        <x:v>667</x:v>
      </x:c>
      <x:c r="D12" s="2" t="n">
        <x:v>680</x:v>
      </x:c>
      <x:c r="E12" s="2" t="n">
        <x:v>451</x:v>
      </x:c>
      <x:c r="F12" s="2" t="n">
        <x:v>616</x:v>
      </x:c>
      <x:c r="G12" s="2" t="n">
        <x:v>1092</x:v>
      </x:c>
      <x:c r="H12" s="2" t="n">
        <x:v>3</x:v>
      </x:c>
      <x:c r="I12" s="2" t="n">
        <x:v>667</x:v>
      </x:c>
      <x:c r="J12" s="2" t="n">
        <x:v>616</x:v>
      </x:c>
      <x:c r="K12" s="2" t="n">
        <x:v>680</x:v>
      </x:c>
      <x:c r="L12" s="2" t="n">
        <x:v>64</x:v>
      </x:c>
      <x:c r="M12" s="2" t="str">
        <x:v>God</x:v>
      </x:c>
      <x:c r="N12" s="2" t="str">
        <x:v>Median baseret på Cabinn, Wakeup og Aarhus Hostel og Hotel</x:v>
      </x:c>
      <x:c r="O12" s="23" t="str">
        <x:v>konkurrentpriser_kilder_2026-10-03.csv</x:v>
      </x:c>
    </x:row>
    <x:row r="13" ht="15" hidden="0" customHeight="1">
      <x:c r="A13" s="33" t="n">
        <x:v>46309</x:v>
      </x:c>
      <x:c r="B13" s="2" t="str">
        <x:v>ons.</x:v>
      </x:c>
      <x:c r="C13" s="2" t="n">
        <x:v>678</x:v>
      </x:c>
      <x:c r="D13" s="2" t="n">
        <x:v>653</x:v>
      </x:c>
      <x:c r="E13" s="2" t="n">
        <x:v>530</x:v>
      </x:c>
      <x:c r="F13" s="2" t="n">
        <x:v>616</x:v>
      </x:c>
      <x:c r="G13" s="2" t="n">
        <x:v>1134</x:v>
      </x:c>
      <x:c r="H13" s="2" t="n">
        <x:v>3</x:v>
      </x:c>
      <x:c r="I13" s="2" t="n">
        <x:v>653</x:v>
      </x:c>
      <x:c r="J13" s="2" t="n">
        <x:v>616</x:v>
      </x:c>
      <x:c r="K13" s="2" t="n">
        <x:v>678</x:v>
      </x:c>
      <x:c r="L13" s="2" t="n">
        <x:v>62</x:v>
      </x:c>
      <x:c r="M13" s="2" t="str">
        <x:v>God</x:v>
      </x:c>
      <x:c r="N13" s="2" t="str">
        <x:v>Median baseret på Cabinn, Wakeup og Aarhus Hostel og Hotel</x:v>
      </x:c>
      <x:c r="O13" s="23" t="str">
        <x:v>konkurrentpriser_kilder_2026-10-03.csv</x:v>
      </x:c>
    </x:row>
    <x:row r="14" ht="15" hidden="0" customHeight="1">
      <x:c r="A14" s="33" t="n">
        <x:v>46310</x:v>
      </x:c>
      <x:c r="B14" s="2" t="str">
        <x:v>tors.</x:v>
      </x:c>
      <x:c r="C14" s="2" t="n">
        <x:v>692</x:v>
      </x:c>
      <x:c r="D14" s="2" t="n">
        <x:v>654</x:v>
      </x:c>
      <x:c r="E14" s="2" t="n">
        <x:v>454</x:v>
      </x:c>
      <x:c r="F14" s="2" t="n">
        <x:v>616</x:v>
      </x:c>
      <x:c r="G14" s="2" t="n">
        <x:v>1118</x:v>
      </x:c>
      <x:c r="H14" s="2" t="n">
        <x:v>3</x:v>
      </x:c>
      <x:c r="I14" s="2" t="n">
        <x:v>654</x:v>
      </x:c>
      <x:c r="J14" s="2" t="n">
        <x:v>616</x:v>
      </x:c>
      <x:c r="K14" s="2" t="n">
        <x:v>692</x:v>
      </x:c>
      <x:c r="L14" s="2" t="n">
        <x:v>76</x:v>
      </x:c>
      <x:c r="M14" s="2" t="str">
        <x:v>God</x:v>
      </x:c>
      <x:c r="N14" s="2" t="str">
        <x:v>Median baseret på Cabinn, Wakeup og Aarhus Hostel og Hotel</x:v>
      </x:c>
      <x:c r="O14" s="23" t="str">
        <x:v>konkurrentpriser_kilder_2026-10-03.csv</x:v>
      </x:c>
    </x:row>
    <x:row r="15" ht="15" hidden="0" customHeight="1">
      <x:c r="A15" s="33" t="n">
        <x:v>46311</x:v>
      </x:c>
      <x:c r="B15" s="2" t="str">
        <x:v>fre.</x:v>
      </x:c>
      <x:c r="C15" s="2" t="n">
        <x:v>678</x:v>
      </x:c>
      <x:c r="D15" s="2" t="n">
        <x:v>662</x:v>
      </x:c>
      <x:c r="E15" s="2" t="n">
        <x:v>402</x:v>
      </x:c>
      <x:c r="F15" s="2" t="n">
        <x:v>616</x:v>
      </x:c>
      <x:c r="G15" s="2" t="n">
        <x:v>1242</x:v>
      </x:c>
      <x:c r="H15" s="2" t="n">
        <x:v>3</x:v>
      </x:c>
      <x:c r="I15" s="2" t="n">
        <x:v>662</x:v>
      </x:c>
      <x:c r="J15" s="2" t="n">
        <x:v>616</x:v>
      </x:c>
      <x:c r="K15" s="2" t="n">
        <x:v>678</x:v>
      </x:c>
      <x:c r="L15" s="2" t="n">
        <x:v>62</x:v>
      </x:c>
      <x:c r="M15" s="2" t="str">
        <x:v>God</x:v>
      </x:c>
      <x:c r="N15" s="2" t="str">
        <x:v>Median baseret på Cabinn, Wakeup og Aarhus Hostel og Hotel</x:v>
      </x:c>
      <x:c r="O15" s="23" t="str">
        <x:v>konkurrentpriser_kilder_2026-10-03.csv</x:v>
      </x:c>
    </x:row>
    <x:row r="16" ht="15" hidden="0" customHeight="1">
      <x:c r="A16" s="33" t="n">
        <x:v>46312</x:v>
      </x:c>
      <x:c r="B16" s="2" t="str">
        <x:v>lør.</x:v>
      </x:c>
      <x:c r="C16" s="2" t="n">
        <x:v>765</x:v>
      </x:c>
      <x:c r="D16" s="2" t="n">
        <x:v>654</x:v>
      </x:c>
      <x:c r="E16" s="2" t="n">
        <x:v>427</x:v>
      </x:c>
      <x:c r="F16" s="2" t="n">
        <x:v>616</x:v>
      </x:c>
      <x:c r="G16" s="2" t="n">
        <x:v>1153</x:v>
      </x:c>
      <x:c r="H16" s="2" t="n">
        <x:v>3</x:v>
      </x:c>
      <x:c r="I16" s="2" t="n">
        <x:v>654</x:v>
      </x:c>
      <x:c r="J16" s="2" t="n">
        <x:v>616</x:v>
      </x:c>
      <x:c r="K16" s="2" t="n">
        <x:v>765</x:v>
      </x:c>
      <x:c r="L16" s="2" t="n">
        <x:v>149</x:v>
      </x:c>
      <x:c r="M16" s="2" t="str">
        <x:v>God</x:v>
      </x:c>
      <x:c r="N16" s="2" t="str">
        <x:v>Median baseret på Cabinn, Wakeup og Aarhus Hostel og Hotel</x:v>
      </x:c>
      <x:c r="O16" s="23" t="str">
        <x:v>konkurrentpriser_kilder_2026-10-03.csv</x:v>
      </x:c>
    </x:row>
    <x:row r="17" ht="15" hidden="0" customHeight="1">
      <x:c r="A17" s="33" t="n">
        <x:v>46313</x:v>
      </x:c>
      <x:c r="B17" s="2" t="str">
        <x:v>søn.</x:v>
      </x:c>
      <x:c r="C17" s="2" t="n">
        <x:v>644</x:v>
      </x:c>
      <x:c r="D17" s="2" t="n">
        <x:v>662</x:v>
      </x:c>
      <x:c r="E17" s="2" t="n">
        <x:v>351</x:v>
      </x:c>
      <x:c r="F17" s="2" t="n">
        <x:v>616</x:v>
      </x:c>
      <x:c r="G17" s="2" t="n">
        <x:v>900</x:v>
      </x:c>
      <x:c r="H17" s="2" t="n">
        <x:v>3</x:v>
      </x:c>
      <x:c r="I17" s="2" t="n">
        <x:v>644</x:v>
      </x:c>
      <x:c r="J17" s="2" t="n">
        <x:v>616</x:v>
      </x:c>
      <x:c r="K17" s="2" t="n">
        <x:v>662</x:v>
      </x:c>
      <x:c r="L17" s="2" t="n">
        <x:v>46</x:v>
      </x:c>
      <x:c r="M17" s="2" t="str">
        <x:v>God</x:v>
      </x:c>
      <x:c r="N17" s="2" t="str">
        <x:v>Median baseret på Cabinn, Wakeup og Aarhus Hostel og Hotel</x:v>
      </x:c>
      <x:c r="O17" s="23" t="str">
        <x:v>konkurrentpriser_kilder_2026-10-03.csv</x:v>
      </x:c>
    </x:row>
    <x:row r="18" ht="15" hidden="0" customHeight="1">
      <x:c r="A18" s="33" t="n">
        <x:v>46314</x:v>
      </x:c>
      <x:c r="B18" s="2" t="str">
        <x:v>man.</x:v>
      </x:c>
      <x:c r="C18" s="2" t="n">
        <x:v>765</x:v>
      </x:c>
      <x:c r="D18" s="2" t="n">
        <x:v>750</x:v>
      </x:c>
      <x:c r="E18" s="2" t="n">
        <x:v>404</x:v>
      </x:c>
      <x:c r="F18" s="2" t="n">
        <x:v>616</x:v>
      </x:c>
      <x:c r="G18" s="2" t="n">
        <x:v>1011</x:v>
      </x:c>
      <x:c r="H18" s="2" t="n">
        <x:v>3</x:v>
      </x:c>
      <x:c r="I18" s="2" t="n">
        <x:v>750</x:v>
      </x:c>
      <x:c r="J18" s="2" t="n">
        <x:v>616</x:v>
      </x:c>
      <x:c r="K18" s="2" t="n">
        <x:v>765</x:v>
      </x:c>
      <x:c r="L18" s="2" t="n">
        <x:v>149</x:v>
      </x:c>
      <x:c r="M18" s="2" t="str">
        <x:v>God</x:v>
      </x:c>
      <x:c r="N18" s="2" t="str">
        <x:v>Median baseret på Cabinn, Wakeup og Aarhus Hostel og Hotel</x:v>
      </x:c>
      <x:c r="O18" s="23" t="str">
        <x:v>konkurrentpriser_kilder_2026-10-03.csv</x:v>
      </x:c>
    </x:row>
    <x:row r="19" ht="15" hidden="0" customHeight="1">
      <x:c r="A19" s="33" t="n">
        <x:v>46315</x:v>
      </x:c>
      <x:c r="B19" s="2" t="str">
        <x:v>tirs.</x:v>
      </x:c>
      <x:c r="C19" s="2" t="n">
        <x:v>764</x:v>
      </x:c>
      <x:c r="D19" s="2" t="n">
        <x:v>954</x:v>
      </x:c>
      <x:c r="E19" s="2" t="n">
        <x:v>507</x:v>
      </x:c>
      <x:c r="F19" s="2" t="n">
        <x:v>616</x:v>
      </x:c>
      <x:c r="G19" s="2" t="n">
        <x:v>1158</x:v>
      </x:c>
      <x:c r="H19" s="2" t="n">
        <x:v>3</x:v>
      </x:c>
      <x:c r="I19" s="2" t="n">
        <x:v>764</x:v>
      </x:c>
      <x:c r="J19" s="2" t="n">
        <x:v>616</x:v>
      </x:c>
      <x:c r="K19" s="2" t="n">
        <x:v>954</x:v>
      </x:c>
      <x:c r="L19" s="2" t="n">
        <x:v>338</x:v>
      </x:c>
      <x:c r="M19" s="2" t="str">
        <x:v>God</x:v>
      </x:c>
      <x:c r="N19" s="2" t="str">
        <x:v>Median baseret på Cabinn, Wakeup og Aarhus Hostel og Hotel</x:v>
      </x:c>
      <x:c r="O19" s="23" t="str">
        <x:v>konkurrentpriser_kilder_2026-10-03.csv</x:v>
      </x:c>
    </x:row>
    <x:row r="20" ht="15" hidden="0" customHeight="1">
      <x:c r="A20" s="33" t="n">
        <x:v>46316</x:v>
      </x:c>
      <x:c r="B20" s="2" t="str">
        <x:v>ons.</x:v>
      </x:c>
      <x:c r="C20" s="2" t="n">
        <x:v>644</x:v>
      </x:c>
      <x:c r="D20" s="2" t="n">
        <x:v>953</x:v>
      </x:c>
      <x:c r="E20" s="2" t="n">
        <x:v>527</x:v>
      </x:c>
      <x:c r="F20" s="2" t="n">
        <x:v>616</x:v>
      </x:c>
      <x:c r="G20" s="2" t="n">
        <x:v>1383</x:v>
      </x:c>
      <x:c r="H20" s="2" t="n">
        <x:v>3</x:v>
      </x:c>
      <x:c r="I20" s="2" t="n">
        <x:v>644</x:v>
      </x:c>
      <x:c r="J20" s="2" t="n">
        <x:v>616</x:v>
      </x:c>
      <x:c r="K20" s="2" t="n">
        <x:v>953</x:v>
      </x:c>
      <x:c r="L20" s="2" t="n">
        <x:v>337</x:v>
      </x:c>
      <x:c r="M20" s="2" t="str">
        <x:v>God</x:v>
      </x:c>
      <x:c r="N20" s="2" t="str">
        <x:v>Median baseret på Cabinn, Wakeup og Aarhus Hostel og Hotel</x:v>
      </x:c>
      <x:c r="O20" s="23" t="str">
        <x:v>konkurrentpriser_kilder_2026-10-03.csv</x:v>
      </x:c>
    </x:row>
    <x:row r="21" ht="15" hidden="0" customHeight="1">
      <x:c r="A21" s="33" t="n">
        <x:v>46317</x:v>
      </x:c>
      <x:c r="B21" s="2" t="str">
        <x:v>tors.</x:v>
      </x:c>
      <x:c r="C21" s="2" t="n">
        <x:v>644</x:v>
      </x:c>
      <x:c r="D21" s="2" t="n">
        <x:v>857</x:v>
      </x:c>
      <x:c r="E21" s="2" t="n">
        <x:v>502</x:v>
      </x:c>
      <x:c r="F21" s="2" t="n">
        <x:v>616</x:v>
      </x:c>
      <x:c r="G21" s="2" t="n">
        <x:v>1618</x:v>
      </x:c>
      <x:c r="H21" s="2" t="n">
        <x:v>3</x:v>
      </x:c>
      <x:c r="I21" s="2" t="n">
        <x:v>644</x:v>
      </x:c>
      <x:c r="J21" s="2" t="n">
        <x:v>616</x:v>
      </x:c>
      <x:c r="K21" s="2" t="n">
        <x:v>857</x:v>
      </x:c>
      <x:c r="L21" s="2" t="n">
        <x:v>241</x:v>
      </x:c>
      <x:c r="M21" s="2" t="str">
        <x:v>God</x:v>
      </x:c>
      <x:c r="N21" s="2" t="str">
        <x:v>Median baseret på Cabinn, Wakeup og Aarhus Hostel og Hotel</x:v>
      </x:c>
      <x:c r="O21" s="23" t="str">
        <x:v>konkurrentpriser_kilder_2026-10-03.csv</x:v>
      </x:c>
    </x:row>
    <x:row r="22" ht="15" hidden="0" customHeight="1">
      <x:c r="A22" s="33" t="n">
        <x:v>46318</x:v>
      </x:c>
      <x:c r="B22" s="2" t="str">
        <x:v>fre.</x:v>
      </x:c>
      <x:c r="C22" s="2" t="n">
        <x:v>644</x:v>
      </x:c>
      <x:c r="D22" s="2" t="n">
        <x:v>807</x:v>
      </x:c>
      <x:c r="E22" s="2" t="n">
        <x:v>502</x:v>
      </x:c>
      <x:c r="F22" s="2" t="n">
        <x:v>616</x:v>
      </x:c>
      <x:c r="G22" s="2" t="n">
        <x:v>1611</x:v>
      </x:c>
      <x:c r="H22" s="2" t="n">
        <x:v>3</x:v>
      </x:c>
      <x:c r="I22" s="2" t="n">
        <x:v>644</x:v>
      </x:c>
      <x:c r="J22" s="2" t="n">
        <x:v>616</x:v>
      </x:c>
      <x:c r="K22" s="2" t="n">
        <x:v>807</x:v>
      </x:c>
      <x:c r="L22" s="2" t="n">
        <x:v>191</x:v>
      </x:c>
      <x:c r="M22" s="2" t="str">
        <x:v>God</x:v>
      </x:c>
      <x:c r="N22" s="2" t="str">
        <x:v>Median baseret på Cabinn, Wakeup og Aarhus Hostel og Hotel</x:v>
      </x:c>
      <x:c r="O22" s="23" t="str">
        <x:v>konkurrentpriser_kilder_2026-10-03.csv</x:v>
      </x:c>
    </x:row>
    <x:row r="23" ht="15" hidden="0" customHeight="1">
      <x:c r="A23" s="33" t="n">
        <x:v>46319</x:v>
      </x:c>
      <x:c r="B23" s="2" t="str">
        <x:v>lør.</x:v>
      </x:c>
      <x:c r="C23" s="2" t="n">
        <x:v>644</x:v>
      </x:c>
      <x:c r="D23" s="2" t="n">
        <x:v>808</x:v>
      </x:c>
      <x:c r="E23" s="2" t="n">
        <x:v>600</x:v>
      </x:c>
      <x:c r="F23" s="2" t="n">
        <x:v>616</x:v>
      </x:c>
      <x:c r="G23" s="2" t="n">
        <x:v>1306</x:v>
      </x:c>
      <x:c r="H23" s="2" t="n">
        <x:v>3</x:v>
      </x:c>
      <x:c r="I23" s="2" t="n">
        <x:v>644</x:v>
      </x:c>
      <x:c r="J23" s="2" t="n">
        <x:v>616</x:v>
      </x:c>
      <x:c r="K23" s="2" t="n">
        <x:v>808</x:v>
      </x:c>
      <x:c r="L23" s="2" t="n">
        <x:v>192</x:v>
      </x:c>
      <x:c r="M23" s="2" t="str">
        <x:v>God</x:v>
      </x:c>
      <x:c r="N23" s="2" t="str">
        <x:v>Median baseret på Cabinn, Wakeup og Aarhus Hostel og Hotel</x:v>
      </x:c>
      <x:c r="O23" s="23" t="str">
        <x:v>konkurrentpriser_kilder_2026-10-03.csv</x:v>
      </x:c>
    </x:row>
    <x:row r="24" ht="15" hidden="0" customHeight="1">
      <x:c r="A24" s="33" t="n">
        <x:v>46320</x:v>
      </x:c>
      <x:c r="B24" s="2" t="str">
        <x:v>søn.</x:v>
      </x:c>
      <x:c r="C24" s="2" t="n">
        <x:v>644</x:v>
      </x:c>
      <x:c r="D24" s="2" t="n">
        <x:v>680</x:v>
      </x:c>
      <x:c r="E24" s="2" t="n">
        <x:v>365</x:v>
      </x:c>
      <x:c r="F24" s="2" t="n">
        <x:v>616</x:v>
      </x:c>
      <x:c r="G24" s="2" t="n">
        <x:v>955</x:v>
      </x:c>
      <x:c r="H24" s="2" t="n">
        <x:v>3</x:v>
      </x:c>
      <x:c r="I24" s="2" t="n">
        <x:v>644</x:v>
      </x:c>
      <x:c r="J24" s="2" t="n">
        <x:v>616</x:v>
      </x:c>
      <x:c r="K24" s="2" t="n">
        <x:v>680</x:v>
      </x:c>
      <x:c r="L24" s="2" t="n">
        <x:v>64</x:v>
      </x:c>
      <x:c r="M24" s="2" t="str">
        <x:v>God</x:v>
      </x:c>
      <x:c r="N24" s="2" t="str">
        <x:v>Median baseret på Cabinn, Wakeup og Aarhus Hostel og Hotel</x:v>
      </x:c>
      <x:c r="O24" s="23" t="str">
        <x:v>konkurrentpriser_kilder_2026-10-03.csv</x:v>
      </x:c>
    </x:row>
    <x:row r="25" ht="15" hidden="0" customHeight="1">
      <x:c r="A25" s="33" t="n">
        <x:v>46321</x:v>
      </x:c>
      <x:c r="B25" s="2" t="str">
        <x:v>man.</x:v>
      </x:c>
      <x:c r="C25" s="2" t="n">
        <x:v>644</x:v>
      </x:c>
      <x:c r="D25" s="2" t="n">
        <x:v>759</x:v>
      </x:c>
      <x:c r="E25" s="2" t="n">
        <x:v>331</x:v>
      </x:c>
      <x:c r="F25" s="2" t="n">
        <x:v>616</x:v>
      </x:c>
      <x:c r="G25" s="2" t="n">
        <x:v>1199</x:v>
      </x:c>
      <x:c r="H25" s="2" t="n">
        <x:v>3</x:v>
      </x:c>
      <x:c r="I25" s="2" t="n">
        <x:v>644</x:v>
      </x:c>
      <x:c r="J25" s="2" t="n">
        <x:v>616</x:v>
      </x:c>
      <x:c r="K25" s="2" t="n">
        <x:v>759</x:v>
      </x:c>
      <x:c r="L25" s="2" t="n">
        <x:v>143</x:v>
      </x:c>
      <x:c r="M25" s="2" t="str">
        <x:v>God</x:v>
      </x:c>
      <x:c r="N25" s="2" t="str">
        <x:v>Median baseret på Cabinn, Wakeup og Aarhus Hostel og Hotel</x:v>
      </x:c>
      <x:c r="O25" s="23" t="str">
        <x:v>konkurrentpriser_kilder_2026-10-03.csv</x:v>
      </x:c>
    </x:row>
    <x:row r="26" ht="15" hidden="0" customHeight="1">
      <x:c r="A26" s="33" t="n">
        <x:v>46322</x:v>
      </x:c>
      <x:c r="B26" s="2" t="str">
        <x:v>tirs.</x:v>
      </x:c>
      <x:c r="C26" s="2" t="n">
        <x:v>644</x:v>
      </x:c>
      <x:c r="D26" s="2" t="n">
        <x:v>953</x:v>
      </x:c>
      <x:c r="E26" s="2" t="n">
        <x:v>378</x:v>
      </x:c>
      <x:c r="F26" s="2" t="n">
        <x:v>616</x:v>
      </x:c>
      <x:c r="G26" s="2" t="n">
        <x:v>1467</x:v>
      </x:c>
      <x:c r="H26" s="2" t="n">
        <x:v>3</x:v>
      </x:c>
      <x:c r="I26" s="2" t="n">
        <x:v>644</x:v>
      </x:c>
      <x:c r="J26" s="2" t="n">
        <x:v>616</x:v>
      </x:c>
      <x:c r="K26" s="2" t="n">
        <x:v>953</x:v>
      </x:c>
      <x:c r="L26" s="2" t="n">
        <x:v>337</x:v>
      </x:c>
      <x:c r="M26" s="2" t="str">
        <x:v>God</x:v>
      </x:c>
      <x:c r="N26" s="2" t="str">
        <x:v>Median baseret på Cabinn, Wakeup og Aarhus Hostel og Hotel</x:v>
      </x:c>
      <x:c r="O26" s="23" t="str">
        <x:v>konkurrentpriser_kilder_2026-10-03.csv</x:v>
      </x:c>
    </x:row>
    <x:row r="27" ht="15" hidden="0" customHeight="1">
      <x:c r="A27" s="33" t="n">
        <x:v>46323</x:v>
      </x:c>
      <x:c r="B27" s="2" t="str">
        <x:v>ons.</x:v>
      </x:c>
      <x:c r="C27" s="2" t="n">
        <x:v>644</x:v>
      </x:c>
      <x:c r="D27" s="2" t="n">
        <x:v>954</x:v>
      </x:c>
      <x:c r="E27" s="2" t="n">
        <x:v>362</x:v>
      </x:c>
      <x:c r="F27" s="2" t="n">
        <x:v>616</x:v>
      </x:c>
      <x:c r="G27" s="2" t="n">
        <x:v>1350</x:v>
      </x:c>
      <x:c r="H27" s="2" t="n">
        <x:v>3</x:v>
      </x:c>
      <x:c r="I27" s="2" t="n">
        <x:v>644</x:v>
      </x:c>
      <x:c r="J27" s="2" t="n">
        <x:v>616</x:v>
      </x:c>
      <x:c r="K27" s="2" t="n">
        <x:v>954</x:v>
      </x:c>
      <x:c r="L27" s="2" t="n">
        <x:v>338</x:v>
      </x:c>
      <x:c r="M27" s="2" t="str">
        <x:v>God</x:v>
      </x:c>
      <x:c r="N27" s="2" t="str">
        <x:v>Median baseret på Cabinn, Wakeup og Aarhus Hostel og Hotel</x:v>
      </x:c>
      <x:c r="O27" s="23" t="str">
        <x:v>konkurrentpriser_kilder_2026-10-03.csv</x:v>
      </x:c>
    </x:row>
    <x:row r="28" ht="15" hidden="0" customHeight="1">
      <x:c r="A28" s="33" t="n">
        <x:v>46324</x:v>
      </x:c>
      <x:c r="B28" s="2" t="str">
        <x:v>tors.</x:v>
      </x:c>
      <x:c r="C28" s="2" t="n">
        <x:v>644</x:v>
      </x:c>
      <x:c r="D28" s="2" t="n">
        <x:v>847</x:v>
      </x:c>
      <x:c r="E28" s="2" t="n">
        <x:v>371</x:v>
      </x:c>
      <x:c r="F28" s="2" t="n">
        <x:v>616</x:v>
      </x:c>
      <x:c r="G28" s="2" t="n">
        <x:v>1119</x:v>
      </x:c>
      <x:c r="H28" s="2" t="n">
        <x:v>3</x:v>
      </x:c>
      <x:c r="I28" s="2" t="n">
        <x:v>644</x:v>
      </x:c>
      <x:c r="J28" s="2" t="n">
        <x:v>616</x:v>
      </x:c>
      <x:c r="K28" s="2" t="n">
        <x:v>847</x:v>
      </x:c>
      <x:c r="L28" s="2" t="n">
        <x:v>231</x:v>
      </x:c>
      <x:c r="M28" s="2" t="str">
        <x:v>God</x:v>
      </x:c>
      <x:c r="N28" s="2" t="str">
        <x:v>Median baseret på Cabinn, Wakeup og Aarhus Hostel og Hotel</x:v>
      </x:c>
      <x:c r="O28" s="23" t="str">
        <x:v>konkurrentpriser_kilder_2026-10-03.csv</x:v>
      </x:c>
    </x:row>
    <x:row r="29" ht="15" hidden="0" customHeight="1">
      <x:c r="A29" s="33" t="n">
        <x:v>46325</x:v>
      </x:c>
      <x:c r="B29" s="2" t="str">
        <x:v>fre.</x:v>
      </x:c>
      <x:c r="C29" s="2" t="n">
        <x:v>644</x:v>
      </x:c>
      <x:c r="D29" s="2" t="n">
        <x:v>797</x:v>
      </x:c>
      <x:c r="E29" s="2" t="n">
        <x:v>423</x:v>
      </x:c>
      <x:c r="F29" s="2" t="n">
        <x:v>616</x:v>
      </x:c>
      <x:c r="G29" s="2" t="n">
        <x:v>1189</x:v>
      </x:c>
      <x:c r="H29" s="2" t="n">
        <x:v>3</x:v>
      </x:c>
      <x:c r="I29" s="2" t="n">
        <x:v>644</x:v>
      </x:c>
      <x:c r="J29" s="2" t="n">
        <x:v>616</x:v>
      </x:c>
      <x:c r="K29" s="2" t="n">
        <x:v>797</x:v>
      </x:c>
      <x:c r="L29" s="2" t="n">
        <x:v>181</x:v>
      </x:c>
      <x:c r="M29" s="2" t="str">
        <x:v>God</x:v>
      </x:c>
      <x:c r="N29" s="2" t="str">
        <x:v>Median baseret på Cabinn, Wakeup og Aarhus Hostel og Hotel</x:v>
      </x:c>
      <x:c r="O29" s="23" t="str">
        <x:v>konkurrentpriser_kilder_2026-10-03.csv</x:v>
      </x:c>
    </x:row>
    <x:row r="30" ht="15" hidden="0" customHeight="1">
      <x:c r="A30" s="33" t="n">
        <x:v>46326</x:v>
      </x:c>
      <x:c r="B30" s="2" t="str">
        <x:v>lør.</x:v>
      </x:c>
      <x:c r="C30" s="2" t="n">
        <x:v>644</x:v>
      </x:c>
      <x:c r="D30" s="2" t="n">
        <x:v>807</x:v>
      </x:c>
      <x:c r="E30" s="2" t="n">
        <x:v>495</x:v>
      </x:c>
      <x:c r="F30" s="2" t="n">
        <x:v>616</x:v>
      </x:c>
      <x:c r="G30" s="2" t="n">
        <x:v>1267</x:v>
      </x:c>
      <x:c r="H30" s="2" t="n">
        <x:v>3</x:v>
      </x:c>
      <x:c r="I30" s="2" t="n">
        <x:v>644</x:v>
      </x:c>
      <x:c r="J30" s="2" t="n">
        <x:v>616</x:v>
      </x:c>
      <x:c r="K30" s="2" t="n">
        <x:v>807</x:v>
      </x:c>
      <x:c r="L30" s="2" t="n">
        <x:v>191</x:v>
      </x:c>
      <x:c r="M30" s="2" t="str">
        <x:v>God</x:v>
      </x:c>
      <x:c r="N30" s="2" t="str">
        <x:v>Median baseret på Cabinn, Wakeup og Aarhus Hostel og Hotel</x:v>
      </x:c>
      <x:c r="O30" s="23" t="str">
        <x:v>konkurrentpriser_kilder_2026-10-03.csv</x:v>
      </x:c>
    </x:row>
    <x:row r="31" ht="15" hidden="0" customHeight="1">
      <x:c r="A31" s="33" t="n">
        <x:v>46327</x:v>
      </x:c>
      <x:c r="B31" s="2" t="str">
        <x:v>søn.</x:v>
      </x:c>
      <x:c r="C31" s="2" t="n">
        <x:v>644</x:v>
      </x:c>
      <x:c r="D31" s="2" t="n">
        <x:v>662</x:v>
      </x:c>
      <x:c r="E31" s="2" t="n">
        <x:v>364</x:v>
      </x:c>
      <x:c r="F31" s="2" t="n">
        <x:v>616</x:v>
      </x:c>
      <x:c r="G31" s="2" t="n">
        <x:v>902</x:v>
      </x:c>
      <x:c r="H31" s="2" t="n">
        <x:v>3</x:v>
      </x:c>
      <x:c r="I31" s="2" t="n">
        <x:v>644</x:v>
      </x:c>
      <x:c r="J31" s="2" t="n">
        <x:v>616</x:v>
      </x:c>
      <x:c r="K31" s="2" t="n">
        <x:v>662</x:v>
      </x:c>
      <x:c r="L31" s="2" t="n">
        <x:v>46</x:v>
      </x:c>
      <x:c r="M31" s="2" t="str">
        <x:v>God</x:v>
      </x:c>
      <x:c r="N31" s="2" t="str">
        <x:v>Median baseret på Cabinn, Wakeup og Aarhus Hostel og Hotel</x:v>
      </x:c>
      <x:c r="O31" s="23" t="str">
        <x:v>konkurrentpriser_kilder_2026-10-03.csv</x:v>
      </x:c>
    </x:row>
    <x:row r="32" ht="15" hidden="0" customHeight="1">
      <x:c r="A32" s="33" t="n">
        <x:v>46328</x:v>
      </x:c>
      <x:c r="B32" s="2" t="str">
        <x:v>man.</x:v>
      </x:c>
      <x:c r="C32" s="2" t="n">
        <x:v>644</x:v>
      </x:c>
      <x:c r="D32" s="2" t="n">
        <x:v>662</x:v>
      </x:c>
      <x:c r="E32" s="2" t="n">
        <x:v>328</x:v>
      </x:c>
      <x:c r="F32" s="2" t="n">
        <x:v>616</x:v>
      </x:c>
      <x:c r="G32" s="2" t="n">
        <x:v>1086</x:v>
      </x:c>
      <x:c r="H32" s="2" t="n">
        <x:v>3</x:v>
      </x:c>
      <x:c r="I32" s="2" t="n">
        <x:v>644</x:v>
      </x:c>
      <x:c r="J32" s="2" t="n">
        <x:v>616</x:v>
      </x:c>
      <x:c r="K32" s="2" t="n">
        <x:v>662</x:v>
      </x:c>
      <x:c r="L32" s="2" t="n">
        <x:v>46</x:v>
      </x:c>
      <x:c r="M32" s="2" t="str">
        <x:v>God</x:v>
      </x:c>
      <x:c r="N32" s="2" t="str">
        <x:v>Median baseret på Cabinn, Wakeup og Aarhus Hostel og Hotel</x:v>
      </x:c>
      <x:c r="O32" s="23" t="str">
        <x:v>konkurrentpriser_kilder_2026-10-03.csv</x:v>
      </x:c>
    </x:row>
    <x:row r="33" ht="15" hidden="0" customHeight="1">
      <x:c r="A33" s="33" t="n">
        <x:v>46329</x:v>
      </x:c>
      <x:c r="B33" s="2" t="str">
        <x:v>tirs.</x:v>
      </x:c>
      <x:c r="C33" s="2" t="n">
        <x:v>644</x:v>
      </x:c>
      <x:c r="D33" s="2" t="n">
        <x:v>759</x:v>
      </x:c>
      <x:c r="E33" s="2" t="n">
        <x:v>363</x:v>
      </x:c>
      <x:c r="F33" s="2" t="n">
        <x:v>616</x:v>
      </x:c>
      <x:c r="G33" s="2" t="n">
        <x:v>1455</x:v>
      </x:c>
      <x:c r="H33" s="2" t="n">
        <x:v>3</x:v>
      </x:c>
      <x:c r="I33" s="2" t="n">
        <x:v>644</x:v>
      </x:c>
      <x:c r="J33" s="2" t="n">
        <x:v>616</x:v>
      </x:c>
      <x:c r="K33" s="2" t="n">
        <x:v>759</x:v>
      </x:c>
      <x:c r="L33" s="2" t="n">
        <x:v>143</x:v>
      </x:c>
      <x:c r="M33" s="2" t="str">
        <x:v>God</x:v>
      </x:c>
      <x:c r="N33" s="2" t="str">
        <x:v>Median baseret på Cabinn, Wakeup og Aarhus Hostel og Hotel</x:v>
      </x:c>
      <x:c r="O33" s="23" t="str">
        <x:v>konkurrentpriser_kilder_2026-10-03.csv</x:v>
      </x:c>
    </x:row>
    <x:row r="34" ht="15" hidden="0" customHeight="1">
      <x:c r="A34" s="33" t="n">
        <x:v>46330</x:v>
      </x:c>
      <x:c r="B34" s="2" t="str">
        <x:v>ons.</x:v>
      </x:c>
      <x:c r="C34" s="2" t="n">
        <x:v>644</x:v>
      </x:c>
      <x:c r="D34" s="2" t="n">
        <x:v>759</x:v>
      </x:c>
      <x:c r="E34" s="2" t="n">
        <x:v>353</x:v>
      </x:c>
      <x:c r="F34" s="2" t="n">
        <x:v>616</x:v>
      </x:c>
      <x:c r="G34" s="2" t="n">
        <x:v>1620</x:v>
      </x:c>
      <x:c r="H34" s="2" t="n">
        <x:v>3</x:v>
      </x:c>
      <x:c r="I34" s="2" t="n">
        <x:v>644</x:v>
      </x:c>
      <x:c r="J34" s="2" t="n">
        <x:v>616</x:v>
      </x:c>
      <x:c r="K34" s="2" t="n">
        <x:v>759</x:v>
      </x:c>
      <x:c r="L34" s="2" t="n">
        <x:v>143</x:v>
      </x:c>
      <x:c r="M34" s="2" t="str">
        <x:v>God</x:v>
      </x:c>
      <x:c r="N34" s="2" t="str">
        <x:v>Median baseret på Cabinn, Wakeup og Aarhus Hostel og Hotel</x:v>
      </x:c>
      <x:c r="O34" s="23" t="str">
        <x:v>konkurrentpriser_kilder_2026-10-03.csv</x:v>
      </x:c>
    </x:row>
    <x:row r="35" ht="15" hidden="0" customHeight="1">
      <x:c r="A35" s="33" t="n">
        <x:v>46331</x:v>
      </x:c>
      <x:c r="B35" s="2" t="str">
        <x:v>tors.</x:v>
      </x:c>
      <x:c r="C35" s="2" t="n">
        <x:v>644</x:v>
      </x:c>
      <x:c r="D35" s="2" t="n">
        <x:v>662</x:v>
      </x:c>
      <x:c r="E35" s="2" t="n">
        <x:v>366</x:v>
      </x:c>
      <x:c r="F35" s="2" t="n">
        <x:v>616</x:v>
      </x:c>
      <x:c r="G35" s="2" t="n">
        <x:v>1242</x:v>
      </x:c>
      <x:c r="H35" s="2" t="n">
        <x:v>3</x:v>
      </x:c>
      <x:c r="I35" s="2" t="n">
        <x:v>644</x:v>
      </x:c>
      <x:c r="J35" s="2" t="n">
        <x:v>616</x:v>
      </x:c>
      <x:c r="K35" s="2" t="n">
        <x:v>662</x:v>
      </x:c>
      <x:c r="L35" s="2" t="n">
        <x:v>46</x:v>
      </x:c>
      <x:c r="M35" s="2" t="str">
        <x:v>God</x:v>
      </x:c>
      <x:c r="N35" s="2" t="str">
        <x:v>Median baseret på Cabinn, Wakeup og Aarhus Hostel og Hotel</x:v>
      </x:c>
      <x:c r="O35" s="23" t="str">
        <x:v>konkurrentpriser_kilder_2026-10-03.csv</x:v>
      </x:c>
    </x:row>
    <x:row r="36" ht="15" hidden="0" customHeight="1">
      <x:c r="A36" s="33" t="n">
        <x:v>46332</x:v>
      </x:c>
      <x:c r="B36" s="2" t="str">
        <x:v>fre.</x:v>
      </x:c>
      <x:c r="C36" s="2" t="n">
        <x:v>842</x:v>
      </x:c>
      <x:c r="D36" s="2" t="n">
        <x:v>662</x:v>
      </x:c>
      <x:c r="E36" s="2" t="n">
        <x:v>480</x:v>
      </x:c>
      <x:c r="F36" s="2"/>
      <x:c r="G36" s="2" t="n">
        <x:v>1208</x:v>
      </x:c>
      <x:c r="H36" s="2" t="n">
        <x:v>2</x:v>
      </x:c>
      <x:c r="I36" s="2" t="n">
        <x:v>752</x:v>
      </x:c>
      <x:c r="J36" s="2" t="n">
        <x:v>662</x:v>
      </x:c>
      <x:c r="K36" s="2" t="n">
        <x:v>842</x:v>
      </x:c>
      <x:c r="L36" s="2" t="n">
        <x:v>180</x:v>
      </x:c>
      <x:c r="M36" s="2" t="str">
        <x:v>Brugbar</x:v>
      </x:c>
      <x:c r="N36" s="2" t="str">
        <x:v>Median baseret på Cabinn, Wakeup og Aarhus Hostel og Hotel</x:v>
      </x:c>
      <x:c r="O36" s="23" t="str">
        <x:v>konkurrentpriser_kilder_2026-10-03.csv</x:v>
      </x:c>
    </x:row>
    <x:row r="37" ht="15" hidden="0" customHeight="1">
      <x:c r="A37" s="34" t="n">
        <x:v>46333</x:v>
      </x:c>
      <x:c r="B37" s="25" t="str">
        <x:v>lør.</x:v>
      </x:c>
      <x:c r="C37" s="25" t="n">
        <x:v>842</x:v>
      </x:c>
      <x:c r="D37" s="25"/>
      <x:c r="E37" s="25" t="n">
        <x:v>446</x:v>
      </x:c>
      <x:c r="F37" s="25"/>
      <x:c r="G37" s="25" t="n">
        <x:v>1263</x:v>
      </x:c>
      <x:c r="H37" s="25" t="n">
        <x:v>1</x:v>
      </x:c>
      <x:c r="I37" s="25"/>
      <x:c r="J37" s="25"/>
      <x:c r="K37" s="25"/>
      <x:c r="L37" s="25"/>
      <x:c r="M37" s="25" t="str">
        <x:v>For lidt data</x:v>
      </x:c>
      <x:c r="N37" s="25" t="str">
        <x:v>Spring over: færre end to sammenlignelige budgetpriser</x:v>
      </x:c>
      <x:c r="O37" s="26" t="str">
        <x:v>konkurrentpriser_kilder_2026-10-03.csv</x:v>
      </x:c>
    </x:row>
  </x:sheetData>
  <x:conditionalFormatting sqref="M2:M37">
    <x:cfRule type="containsText" dxfId="0" priority="1" operator="containsText" text="For lidt data"/>
    <x:cfRule type="containsText" dxfId="1" priority="2" operator="containsText" text="Brugbar"/>
    <x:cfRule type="containsText" dxfId="2" priority="3" operator="containsText" text="God"/>
  </x:conditionalFormatting>
  <x:pageMargins left="0.7" right="0.7" top="0.75" bottom="0.75" header="0.3" footer="0.3"/>
</x:worksheet>
</file>